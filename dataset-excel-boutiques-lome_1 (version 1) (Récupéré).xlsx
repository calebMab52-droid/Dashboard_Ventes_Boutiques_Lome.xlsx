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B\AppData\Roaming\Microsoft\Excel\"/>
    </mc:Choice>
  </mc:AlternateContent>
  <xr:revisionPtr revIDLastSave="0" documentId="13_ncr:1_{0D3743EE-C70A-41EB-B022-6836C5256DB3}" xr6:coauthVersionLast="47" xr6:coauthVersionMax="47" xr10:uidLastSave="{00000000-0000-0000-0000-000000000000}"/>
  <bookViews>
    <workbookView xWindow="-108" yWindow="-108" windowWidth="23256" windowHeight="12456" tabRatio="500" firstSheet="5" activeTab="9" xr2:uid="{00000000-000D-0000-FFFF-FFFF00000000}"/>
  </bookViews>
  <sheets>
    <sheet name="Lisez-moi" sheetId="1" r:id="rId1"/>
    <sheet name="Ventes" sheetId="2" r:id="rId2"/>
    <sheet name="Dictionnaire" sheetId="3" r:id="rId3"/>
    <sheet name="Exercices" sheetId="4" r:id="rId4"/>
    <sheet name="Ventes_Brutes" sheetId="5" r:id="rId5"/>
    <sheet name="TCD" sheetId="6" r:id="rId6"/>
    <sheet name="Calculs" sheetId="10" r:id="rId7"/>
    <sheet name="Nettoyage " sheetId="7" r:id="rId8"/>
    <sheet name="Dashboard" sheetId="8" r:id="rId9"/>
    <sheet name="Analyse et rédaction " sheetId="9" r:id="rId10"/>
  </sheets>
  <definedNames>
    <definedName name="_xlnm._FilterDatabase" localSheetId="1" hidden="1">Ventes!$A$1:$J$401</definedName>
    <definedName name="DonnéesExternes_1" localSheetId="7" hidden="1">'Nettoyage '!$A$1:$H$81</definedName>
    <definedName name="Segment_Boutique">#N/A</definedName>
    <definedName name="Segment_Mois">#N/A</definedName>
    <definedName name="Segment_Produit">#N/A</definedName>
  </definedNames>
  <calcPr calcId="181029" iterateDelta="1E-4"/>
  <pivotCaches>
    <pivotCache cacheId="0" r:id="rId11"/>
    <pivotCache cacheId="1" r:id="rId12"/>
    <pivotCache cacheId="2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401" i="2" l="1"/>
  <c r="K401" i="2"/>
  <c r="I401" i="2"/>
  <c r="L400" i="2"/>
  <c r="K400" i="2"/>
  <c r="I400" i="2"/>
  <c r="L399" i="2"/>
  <c r="K399" i="2"/>
  <c r="I399" i="2"/>
  <c r="L398" i="2"/>
  <c r="K398" i="2"/>
  <c r="I398" i="2"/>
  <c r="L397" i="2"/>
  <c r="K397" i="2"/>
  <c r="I397" i="2"/>
  <c r="L396" i="2"/>
  <c r="K396" i="2"/>
  <c r="I396" i="2"/>
  <c r="L395" i="2"/>
  <c r="K395" i="2"/>
  <c r="I395" i="2"/>
  <c r="L394" i="2"/>
  <c r="K394" i="2"/>
  <c r="I394" i="2"/>
  <c r="L393" i="2"/>
  <c r="K393" i="2"/>
  <c r="I393" i="2"/>
  <c r="L392" i="2"/>
  <c r="K392" i="2"/>
  <c r="I392" i="2"/>
  <c r="L391" i="2"/>
  <c r="K391" i="2"/>
  <c r="I391" i="2"/>
  <c r="L390" i="2"/>
  <c r="K390" i="2"/>
  <c r="I390" i="2"/>
  <c r="L389" i="2"/>
  <c r="K389" i="2"/>
  <c r="I389" i="2"/>
  <c r="L388" i="2"/>
  <c r="K388" i="2"/>
  <c r="I388" i="2"/>
  <c r="L387" i="2"/>
  <c r="K387" i="2"/>
  <c r="I387" i="2"/>
  <c r="L386" i="2"/>
  <c r="K386" i="2"/>
  <c r="I386" i="2"/>
  <c r="L385" i="2"/>
  <c r="K385" i="2"/>
  <c r="I385" i="2"/>
  <c r="L384" i="2"/>
  <c r="K384" i="2"/>
  <c r="I384" i="2"/>
  <c r="L383" i="2"/>
  <c r="K383" i="2"/>
  <c r="I383" i="2"/>
  <c r="L382" i="2"/>
  <c r="K382" i="2"/>
  <c r="I382" i="2"/>
  <c r="L381" i="2"/>
  <c r="K381" i="2"/>
  <c r="I381" i="2"/>
  <c r="L380" i="2"/>
  <c r="K380" i="2"/>
  <c r="I380" i="2"/>
  <c r="L379" i="2"/>
  <c r="K379" i="2"/>
  <c r="I379" i="2"/>
  <c r="L378" i="2"/>
  <c r="K378" i="2"/>
  <c r="I378" i="2"/>
  <c r="L377" i="2"/>
  <c r="K377" i="2"/>
  <c r="I377" i="2"/>
  <c r="L376" i="2"/>
  <c r="K376" i="2"/>
  <c r="I376" i="2"/>
  <c r="L375" i="2"/>
  <c r="K375" i="2"/>
  <c r="I375" i="2"/>
  <c r="L374" i="2"/>
  <c r="K374" i="2"/>
  <c r="I374" i="2"/>
  <c r="L373" i="2"/>
  <c r="K373" i="2"/>
  <c r="I373" i="2"/>
  <c r="L372" i="2"/>
  <c r="K372" i="2"/>
  <c r="I372" i="2"/>
  <c r="L371" i="2"/>
  <c r="K371" i="2"/>
  <c r="I371" i="2"/>
  <c r="L370" i="2"/>
  <c r="K370" i="2"/>
  <c r="I370" i="2"/>
  <c r="L369" i="2"/>
  <c r="K369" i="2"/>
  <c r="I369" i="2"/>
  <c r="L368" i="2"/>
  <c r="K368" i="2"/>
  <c r="I368" i="2"/>
  <c r="L367" i="2"/>
  <c r="K367" i="2"/>
  <c r="I367" i="2"/>
  <c r="L366" i="2"/>
  <c r="K366" i="2"/>
  <c r="I366" i="2"/>
  <c r="L365" i="2"/>
  <c r="K365" i="2"/>
  <c r="I365" i="2"/>
  <c r="L364" i="2"/>
  <c r="K364" i="2"/>
  <c r="I364" i="2"/>
  <c r="L363" i="2"/>
  <c r="K363" i="2"/>
  <c r="I363" i="2"/>
  <c r="L362" i="2"/>
  <c r="K362" i="2"/>
  <c r="I362" i="2"/>
  <c r="L361" i="2"/>
  <c r="K361" i="2"/>
  <c r="I361" i="2"/>
  <c r="L360" i="2"/>
  <c r="K360" i="2"/>
  <c r="I360" i="2"/>
  <c r="L359" i="2"/>
  <c r="K359" i="2"/>
  <c r="I359" i="2"/>
  <c r="L358" i="2"/>
  <c r="K358" i="2"/>
  <c r="I358" i="2"/>
  <c r="L357" i="2"/>
  <c r="K357" i="2"/>
  <c r="I357" i="2"/>
  <c r="L356" i="2"/>
  <c r="K356" i="2"/>
  <c r="I356" i="2"/>
  <c r="L355" i="2"/>
  <c r="K355" i="2"/>
  <c r="I355" i="2"/>
  <c r="L354" i="2"/>
  <c r="K354" i="2"/>
  <c r="I354" i="2"/>
  <c r="L353" i="2"/>
  <c r="K353" i="2"/>
  <c r="I353" i="2"/>
  <c r="L352" i="2"/>
  <c r="K352" i="2"/>
  <c r="I352" i="2"/>
  <c r="L351" i="2"/>
  <c r="K351" i="2"/>
  <c r="I351" i="2"/>
  <c r="L350" i="2"/>
  <c r="K350" i="2"/>
  <c r="I350" i="2"/>
  <c r="L349" i="2"/>
  <c r="K349" i="2"/>
  <c r="I349" i="2"/>
  <c r="L348" i="2"/>
  <c r="K348" i="2"/>
  <c r="I348" i="2"/>
  <c r="L347" i="2"/>
  <c r="K347" i="2"/>
  <c r="I347" i="2"/>
  <c r="L346" i="2"/>
  <c r="K346" i="2"/>
  <c r="I346" i="2"/>
  <c r="L345" i="2"/>
  <c r="K345" i="2"/>
  <c r="I345" i="2"/>
  <c r="L344" i="2"/>
  <c r="K344" i="2"/>
  <c r="I344" i="2"/>
  <c r="L343" i="2"/>
  <c r="K343" i="2"/>
  <c r="I343" i="2"/>
  <c r="L342" i="2"/>
  <c r="K342" i="2"/>
  <c r="I342" i="2"/>
  <c r="L341" i="2"/>
  <c r="K341" i="2"/>
  <c r="I341" i="2"/>
  <c r="L340" i="2"/>
  <c r="K340" i="2"/>
  <c r="I340" i="2"/>
  <c r="L339" i="2"/>
  <c r="K339" i="2"/>
  <c r="I339" i="2"/>
  <c r="L338" i="2"/>
  <c r="K338" i="2"/>
  <c r="I338" i="2"/>
  <c r="L337" i="2"/>
  <c r="K337" i="2"/>
  <c r="I337" i="2"/>
  <c r="L336" i="2"/>
  <c r="K336" i="2"/>
  <c r="I336" i="2"/>
  <c r="L335" i="2"/>
  <c r="K335" i="2"/>
  <c r="I335" i="2"/>
  <c r="L334" i="2"/>
  <c r="K334" i="2"/>
  <c r="I334" i="2"/>
  <c r="L333" i="2"/>
  <c r="K333" i="2"/>
  <c r="I333" i="2"/>
  <c r="L332" i="2"/>
  <c r="K332" i="2"/>
  <c r="I332" i="2"/>
  <c r="L331" i="2"/>
  <c r="K331" i="2"/>
  <c r="I331" i="2"/>
  <c r="L330" i="2"/>
  <c r="K330" i="2"/>
  <c r="I330" i="2"/>
  <c r="L329" i="2"/>
  <c r="K329" i="2"/>
  <c r="I329" i="2"/>
  <c r="L328" i="2"/>
  <c r="K328" i="2"/>
  <c r="I328" i="2"/>
  <c r="L327" i="2"/>
  <c r="K327" i="2"/>
  <c r="I327" i="2"/>
  <c r="L326" i="2"/>
  <c r="K326" i="2"/>
  <c r="I326" i="2"/>
  <c r="L325" i="2"/>
  <c r="K325" i="2"/>
  <c r="I325" i="2"/>
  <c r="L324" i="2"/>
  <c r="K324" i="2"/>
  <c r="I324" i="2"/>
  <c r="L323" i="2"/>
  <c r="K323" i="2"/>
  <c r="I323" i="2"/>
  <c r="L322" i="2"/>
  <c r="K322" i="2"/>
  <c r="I322" i="2"/>
  <c r="L321" i="2"/>
  <c r="K321" i="2"/>
  <c r="I321" i="2"/>
  <c r="L320" i="2"/>
  <c r="K320" i="2"/>
  <c r="I320" i="2"/>
  <c r="L319" i="2"/>
  <c r="K319" i="2"/>
  <c r="I319" i="2"/>
  <c r="L318" i="2"/>
  <c r="K318" i="2"/>
  <c r="I318" i="2"/>
  <c r="L317" i="2"/>
  <c r="K317" i="2"/>
  <c r="I317" i="2"/>
  <c r="L316" i="2"/>
  <c r="K316" i="2"/>
  <c r="I316" i="2"/>
  <c r="L315" i="2"/>
  <c r="K315" i="2"/>
  <c r="I315" i="2"/>
  <c r="L314" i="2"/>
  <c r="K314" i="2"/>
  <c r="I314" i="2"/>
  <c r="L313" i="2"/>
  <c r="K313" i="2"/>
  <c r="I313" i="2"/>
  <c r="L312" i="2"/>
  <c r="K312" i="2"/>
  <c r="I312" i="2"/>
  <c r="L311" i="2"/>
  <c r="K311" i="2"/>
  <c r="I311" i="2"/>
  <c r="L310" i="2"/>
  <c r="K310" i="2"/>
  <c r="I310" i="2"/>
  <c r="L309" i="2"/>
  <c r="K309" i="2"/>
  <c r="I309" i="2"/>
  <c r="L308" i="2"/>
  <c r="K308" i="2"/>
  <c r="I308" i="2"/>
  <c r="L307" i="2"/>
  <c r="K307" i="2"/>
  <c r="I307" i="2"/>
  <c r="L306" i="2"/>
  <c r="K306" i="2"/>
  <c r="I306" i="2"/>
  <c r="L305" i="2"/>
  <c r="K305" i="2"/>
  <c r="I305" i="2"/>
  <c r="L304" i="2"/>
  <c r="K304" i="2"/>
  <c r="I304" i="2"/>
  <c r="L303" i="2"/>
  <c r="K303" i="2"/>
  <c r="I303" i="2"/>
  <c r="L302" i="2"/>
  <c r="K302" i="2"/>
  <c r="I302" i="2"/>
  <c r="L301" i="2"/>
  <c r="K301" i="2"/>
  <c r="I301" i="2"/>
  <c r="L300" i="2"/>
  <c r="K300" i="2"/>
  <c r="I300" i="2"/>
  <c r="L299" i="2"/>
  <c r="K299" i="2"/>
  <c r="I299" i="2"/>
  <c r="L298" i="2"/>
  <c r="K298" i="2"/>
  <c r="I298" i="2"/>
  <c r="L297" i="2"/>
  <c r="K297" i="2"/>
  <c r="I297" i="2"/>
  <c r="L296" i="2"/>
  <c r="K296" i="2"/>
  <c r="I296" i="2"/>
  <c r="L295" i="2"/>
  <c r="K295" i="2"/>
  <c r="I295" i="2"/>
  <c r="L294" i="2"/>
  <c r="K294" i="2"/>
  <c r="I294" i="2"/>
  <c r="L293" i="2"/>
  <c r="K293" i="2"/>
  <c r="I293" i="2"/>
  <c r="L292" i="2"/>
  <c r="K292" i="2"/>
  <c r="I292" i="2"/>
  <c r="L291" i="2"/>
  <c r="K291" i="2"/>
  <c r="I291" i="2"/>
  <c r="L290" i="2"/>
  <c r="K290" i="2"/>
  <c r="I290" i="2"/>
  <c r="L289" i="2"/>
  <c r="K289" i="2"/>
  <c r="I289" i="2"/>
  <c r="L288" i="2"/>
  <c r="K288" i="2"/>
  <c r="I288" i="2"/>
  <c r="L287" i="2"/>
  <c r="K287" i="2"/>
  <c r="I287" i="2"/>
  <c r="L286" i="2"/>
  <c r="K286" i="2"/>
  <c r="I286" i="2"/>
  <c r="L285" i="2"/>
  <c r="K285" i="2"/>
  <c r="I285" i="2"/>
  <c r="L284" i="2"/>
  <c r="K284" i="2"/>
  <c r="I284" i="2"/>
  <c r="L283" i="2"/>
  <c r="K283" i="2"/>
  <c r="I283" i="2"/>
  <c r="L282" i="2"/>
  <c r="K282" i="2"/>
  <c r="I282" i="2"/>
  <c r="L281" i="2"/>
  <c r="K281" i="2"/>
  <c r="I281" i="2"/>
  <c r="L280" i="2"/>
  <c r="K280" i="2"/>
  <c r="I280" i="2"/>
  <c r="L279" i="2"/>
  <c r="K279" i="2"/>
  <c r="I279" i="2"/>
  <c r="L278" i="2"/>
  <c r="K278" i="2"/>
  <c r="I278" i="2"/>
  <c r="L277" i="2"/>
  <c r="K277" i="2"/>
  <c r="I277" i="2"/>
  <c r="L276" i="2"/>
  <c r="K276" i="2"/>
  <c r="I276" i="2"/>
  <c r="L275" i="2"/>
  <c r="K275" i="2"/>
  <c r="I275" i="2"/>
  <c r="L274" i="2"/>
  <c r="K274" i="2"/>
  <c r="I274" i="2"/>
  <c r="L273" i="2"/>
  <c r="K273" i="2"/>
  <c r="I273" i="2"/>
  <c r="L272" i="2"/>
  <c r="K272" i="2"/>
  <c r="I272" i="2"/>
  <c r="L271" i="2"/>
  <c r="K271" i="2"/>
  <c r="I271" i="2"/>
  <c r="L270" i="2"/>
  <c r="K270" i="2"/>
  <c r="I270" i="2"/>
  <c r="L269" i="2"/>
  <c r="K269" i="2"/>
  <c r="I269" i="2"/>
  <c r="L268" i="2"/>
  <c r="K268" i="2"/>
  <c r="I268" i="2"/>
  <c r="L267" i="2"/>
  <c r="K267" i="2"/>
  <c r="I267" i="2"/>
  <c r="L266" i="2"/>
  <c r="K266" i="2"/>
  <c r="I266" i="2"/>
  <c r="L265" i="2"/>
  <c r="K265" i="2"/>
  <c r="I265" i="2"/>
  <c r="L264" i="2"/>
  <c r="K264" i="2"/>
  <c r="I264" i="2"/>
  <c r="L263" i="2"/>
  <c r="K263" i="2"/>
  <c r="I263" i="2"/>
  <c r="L262" i="2"/>
  <c r="K262" i="2"/>
  <c r="I262" i="2"/>
  <c r="L261" i="2"/>
  <c r="K261" i="2"/>
  <c r="I261" i="2"/>
  <c r="L260" i="2"/>
  <c r="K260" i="2"/>
  <c r="I260" i="2"/>
  <c r="L259" i="2"/>
  <c r="K259" i="2"/>
  <c r="I259" i="2"/>
  <c r="L258" i="2"/>
  <c r="K258" i="2"/>
  <c r="I258" i="2"/>
  <c r="L257" i="2"/>
  <c r="K257" i="2"/>
  <c r="I257" i="2"/>
  <c r="L256" i="2"/>
  <c r="K256" i="2"/>
  <c r="I256" i="2"/>
  <c r="L255" i="2"/>
  <c r="K255" i="2"/>
  <c r="I255" i="2"/>
  <c r="L254" i="2"/>
  <c r="K254" i="2"/>
  <c r="I254" i="2"/>
  <c r="L253" i="2"/>
  <c r="K253" i="2"/>
  <c r="I253" i="2"/>
  <c r="L252" i="2"/>
  <c r="K252" i="2"/>
  <c r="I252" i="2"/>
  <c r="L251" i="2"/>
  <c r="K251" i="2"/>
  <c r="I251" i="2"/>
  <c r="L250" i="2"/>
  <c r="K250" i="2"/>
  <c r="I250" i="2"/>
  <c r="L249" i="2"/>
  <c r="K249" i="2"/>
  <c r="I249" i="2"/>
  <c r="L248" i="2"/>
  <c r="K248" i="2"/>
  <c r="I248" i="2"/>
  <c r="L247" i="2"/>
  <c r="K247" i="2"/>
  <c r="I247" i="2"/>
  <c r="L246" i="2"/>
  <c r="K246" i="2"/>
  <c r="I246" i="2"/>
  <c r="L245" i="2"/>
  <c r="K245" i="2"/>
  <c r="I245" i="2"/>
  <c r="L244" i="2"/>
  <c r="K244" i="2"/>
  <c r="I244" i="2"/>
  <c r="L243" i="2"/>
  <c r="K243" i="2"/>
  <c r="I243" i="2"/>
  <c r="L242" i="2"/>
  <c r="K242" i="2"/>
  <c r="I242" i="2"/>
  <c r="L241" i="2"/>
  <c r="K241" i="2"/>
  <c r="I241" i="2"/>
  <c r="L240" i="2"/>
  <c r="K240" i="2"/>
  <c r="I240" i="2"/>
  <c r="L239" i="2"/>
  <c r="K239" i="2"/>
  <c r="I239" i="2"/>
  <c r="L238" i="2"/>
  <c r="K238" i="2"/>
  <c r="I238" i="2"/>
  <c r="L237" i="2"/>
  <c r="K237" i="2"/>
  <c r="I237" i="2"/>
  <c r="L236" i="2"/>
  <c r="K236" i="2"/>
  <c r="I236" i="2"/>
  <c r="L235" i="2"/>
  <c r="K235" i="2"/>
  <c r="I235" i="2"/>
  <c r="L234" i="2"/>
  <c r="K234" i="2"/>
  <c r="I234" i="2"/>
  <c r="L233" i="2"/>
  <c r="K233" i="2"/>
  <c r="I233" i="2"/>
  <c r="L232" i="2"/>
  <c r="K232" i="2"/>
  <c r="I232" i="2"/>
  <c r="L231" i="2"/>
  <c r="K231" i="2"/>
  <c r="I231" i="2"/>
  <c r="L230" i="2"/>
  <c r="K230" i="2"/>
  <c r="I230" i="2"/>
  <c r="L229" i="2"/>
  <c r="K229" i="2"/>
  <c r="I229" i="2"/>
  <c r="L228" i="2"/>
  <c r="K228" i="2"/>
  <c r="I228" i="2"/>
  <c r="L227" i="2"/>
  <c r="K227" i="2"/>
  <c r="I227" i="2"/>
  <c r="L226" i="2"/>
  <c r="K226" i="2"/>
  <c r="I226" i="2"/>
  <c r="L225" i="2"/>
  <c r="K225" i="2"/>
  <c r="I225" i="2"/>
  <c r="L224" i="2"/>
  <c r="K224" i="2"/>
  <c r="I224" i="2"/>
  <c r="L223" i="2"/>
  <c r="K223" i="2"/>
  <c r="I223" i="2"/>
  <c r="L222" i="2"/>
  <c r="K222" i="2"/>
  <c r="I222" i="2"/>
  <c r="L221" i="2"/>
  <c r="K221" i="2"/>
  <c r="I221" i="2"/>
  <c r="L220" i="2"/>
  <c r="K220" i="2"/>
  <c r="I220" i="2"/>
  <c r="L219" i="2"/>
  <c r="K219" i="2"/>
  <c r="I219" i="2"/>
  <c r="L218" i="2"/>
  <c r="K218" i="2"/>
  <c r="I218" i="2"/>
  <c r="L217" i="2"/>
  <c r="K217" i="2"/>
  <c r="I217" i="2"/>
  <c r="L216" i="2"/>
  <c r="K216" i="2"/>
  <c r="I216" i="2"/>
  <c r="L215" i="2"/>
  <c r="K215" i="2"/>
  <c r="I215" i="2"/>
  <c r="L214" i="2"/>
  <c r="K214" i="2"/>
  <c r="I214" i="2"/>
  <c r="L213" i="2"/>
  <c r="K213" i="2"/>
  <c r="I213" i="2"/>
  <c r="L212" i="2"/>
  <c r="K212" i="2"/>
  <c r="I212" i="2"/>
  <c r="L211" i="2"/>
  <c r="K211" i="2"/>
  <c r="I211" i="2"/>
  <c r="L210" i="2"/>
  <c r="K210" i="2"/>
  <c r="I210" i="2"/>
  <c r="L209" i="2"/>
  <c r="K209" i="2"/>
  <c r="I209" i="2"/>
  <c r="L208" i="2"/>
  <c r="K208" i="2"/>
  <c r="I208" i="2"/>
  <c r="L207" i="2"/>
  <c r="K207" i="2"/>
  <c r="I207" i="2"/>
  <c r="L206" i="2"/>
  <c r="K206" i="2"/>
  <c r="I206" i="2"/>
  <c r="L205" i="2"/>
  <c r="K205" i="2"/>
  <c r="I205" i="2"/>
  <c r="L204" i="2"/>
  <c r="K204" i="2"/>
  <c r="I204" i="2"/>
  <c r="L203" i="2"/>
  <c r="K203" i="2"/>
  <c r="I203" i="2"/>
  <c r="L202" i="2"/>
  <c r="K202" i="2"/>
  <c r="I202" i="2"/>
  <c r="L201" i="2"/>
  <c r="K201" i="2"/>
  <c r="I201" i="2"/>
  <c r="L200" i="2"/>
  <c r="K200" i="2"/>
  <c r="I200" i="2"/>
  <c r="L199" i="2"/>
  <c r="K199" i="2"/>
  <c r="I199" i="2"/>
  <c r="L198" i="2"/>
  <c r="K198" i="2"/>
  <c r="I198" i="2"/>
  <c r="L197" i="2"/>
  <c r="K197" i="2"/>
  <c r="I197" i="2"/>
  <c r="L196" i="2"/>
  <c r="K196" i="2"/>
  <c r="I196" i="2"/>
  <c r="L195" i="2"/>
  <c r="K195" i="2"/>
  <c r="I195" i="2"/>
  <c r="L194" i="2"/>
  <c r="K194" i="2"/>
  <c r="I194" i="2"/>
  <c r="L193" i="2"/>
  <c r="K193" i="2"/>
  <c r="I193" i="2"/>
  <c r="L192" i="2"/>
  <c r="K192" i="2"/>
  <c r="I192" i="2"/>
  <c r="L191" i="2"/>
  <c r="K191" i="2"/>
  <c r="I191" i="2"/>
  <c r="L190" i="2"/>
  <c r="K190" i="2"/>
  <c r="I190" i="2"/>
  <c r="L189" i="2"/>
  <c r="K189" i="2"/>
  <c r="I189" i="2"/>
  <c r="L188" i="2"/>
  <c r="K188" i="2"/>
  <c r="I188" i="2"/>
  <c r="L187" i="2"/>
  <c r="K187" i="2"/>
  <c r="I187" i="2"/>
  <c r="L186" i="2"/>
  <c r="K186" i="2"/>
  <c r="I186" i="2"/>
  <c r="L185" i="2"/>
  <c r="K185" i="2"/>
  <c r="I185" i="2"/>
  <c r="L184" i="2"/>
  <c r="K184" i="2"/>
  <c r="I184" i="2"/>
  <c r="L183" i="2"/>
  <c r="K183" i="2"/>
  <c r="I183" i="2"/>
  <c r="L182" i="2"/>
  <c r="K182" i="2"/>
  <c r="I182" i="2"/>
  <c r="L181" i="2"/>
  <c r="K181" i="2"/>
  <c r="I181" i="2"/>
  <c r="L180" i="2"/>
  <c r="K180" i="2"/>
  <c r="I180" i="2"/>
  <c r="L179" i="2"/>
  <c r="K179" i="2"/>
  <c r="I179" i="2"/>
  <c r="L178" i="2"/>
  <c r="K178" i="2"/>
  <c r="I178" i="2"/>
  <c r="L177" i="2"/>
  <c r="K177" i="2"/>
  <c r="I177" i="2"/>
  <c r="L176" i="2"/>
  <c r="K176" i="2"/>
  <c r="I176" i="2"/>
  <c r="L175" i="2"/>
  <c r="K175" i="2"/>
  <c r="I175" i="2"/>
  <c r="L174" i="2"/>
  <c r="K174" i="2"/>
  <c r="I174" i="2"/>
  <c r="L173" i="2"/>
  <c r="K173" i="2"/>
  <c r="I173" i="2"/>
  <c r="L172" i="2"/>
  <c r="K172" i="2"/>
  <c r="I172" i="2"/>
  <c r="L171" i="2"/>
  <c r="K171" i="2"/>
  <c r="I171" i="2"/>
  <c r="L170" i="2"/>
  <c r="K170" i="2"/>
  <c r="I170" i="2"/>
  <c r="L169" i="2"/>
  <c r="K169" i="2"/>
  <c r="I169" i="2"/>
  <c r="L168" i="2"/>
  <c r="K168" i="2"/>
  <c r="I168" i="2"/>
  <c r="L167" i="2"/>
  <c r="K167" i="2"/>
  <c r="I167" i="2"/>
  <c r="L166" i="2"/>
  <c r="K166" i="2"/>
  <c r="I166" i="2"/>
  <c r="L165" i="2"/>
  <c r="K165" i="2"/>
  <c r="I165" i="2"/>
  <c r="L164" i="2"/>
  <c r="K164" i="2"/>
  <c r="I164" i="2"/>
  <c r="L163" i="2"/>
  <c r="K163" i="2"/>
  <c r="I163" i="2"/>
  <c r="L162" i="2"/>
  <c r="K162" i="2"/>
  <c r="I162" i="2"/>
  <c r="L161" i="2"/>
  <c r="K161" i="2"/>
  <c r="I161" i="2"/>
  <c r="L160" i="2"/>
  <c r="K160" i="2"/>
  <c r="I160" i="2"/>
  <c r="L159" i="2"/>
  <c r="K159" i="2"/>
  <c r="I159" i="2"/>
  <c r="L158" i="2"/>
  <c r="K158" i="2"/>
  <c r="I158" i="2"/>
  <c r="L157" i="2"/>
  <c r="K157" i="2"/>
  <c r="I157" i="2"/>
  <c r="L156" i="2"/>
  <c r="K156" i="2"/>
  <c r="I156" i="2"/>
  <c r="L155" i="2"/>
  <c r="K155" i="2"/>
  <c r="I155" i="2"/>
  <c r="L154" i="2"/>
  <c r="K154" i="2"/>
  <c r="I154" i="2"/>
  <c r="L153" i="2"/>
  <c r="K153" i="2"/>
  <c r="I153" i="2"/>
  <c r="L152" i="2"/>
  <c r="K152" i="2"/>
  <c r="I152" i="2"/>
  <c r="L151" i="2"/>
  <c r="K151" i="2"/>
  <c r="I151" i="2"/>
  <c r="L150" i="2"/>
  <c r="K150" i="2"/>
  <c r="I150" i="2"/>
  <c r="L149" i="2"/>
  <c r="K149" i="2"/>
  <c r="I149" i="2"/>
  <c r="L148" i="2"/>
  <c r="K148" i="2"/>
  <c r="I148" i="2"/>
  <c r="L147" i="2"/>
  <c r="K147" i="2"/>
  <c r="I147" i="2"/>
  <c r="L146" i="2"/>
  <c r="K146" i="2"/>
  <c r="I146" i="2"/>
  <c r="L145" i="2"/>
  <c r="K145" i="2"/>
  <c r="I145" i="2"/>
  <c r="L144" i="2"/>
  <c r="K144" i="2"/>
  <c r="I144" i="2"/>
  <c r="L143" i="2"/>
  <c r="K143" i="2"/>
  <c r="I143" i="2"/>
  <c r="L142" i="2"/>
  <c r="K142" i="2"/>
  <c r="I142" i="2"/>
  <c r="L141" i="2"/>
  <c r="K141" i="2"/>
  <c r="I141" i="2"/>
  <c r="L140" i="2"/>
  <c r="K140" i="2"/>
  <c r="I140" i="2"/>
  <c r="L139" i="2"/>
  <c r="K139" i="2"/>
  <c r="I139" i="2"/>
  <c r="L138" i="2"/>
  <c r="K138" i="2"/>
  <c r="I138" i="2"/>
  <c r="L137" i="2"/>
  <c r="K137" i="2"/>
  <c r="I137" i="2"/>
  <c r="L136" i="2"/>
  <c r="K136" i="2"/>
  <c r="I136" i="2"/>
  <c r="L135" i="2"/>
  <c r="K135" i="2"/>
  <c r="I135" i="2"/>
  <c r="L134" i="2"/>
  <c r="K134" i="2"/>
  <c r="I134" i="2"/>
  <c r="L133" i="2"/>
  <c r="K133" i="2"/>
  <c r="I133" i="2"/>
  <c r="L132" i="2"/>
  <c r="K132" i="2"/>
  <c r="I132" i="2"/>
  <c r="L131" i="2"/>
  <c r="K131" i="2"/>
  <c r="I131" i="2"/>
  <c r="L130" i="2"/>
  <c r="K130" i="2"/>
  <c r="I130" i="2"/>
  <c r="L129" i="2"/>
  <c r="K129" i="2"/>
  <c r="I129" i="2"/>
  <c r="L128" i="2"/>
  <c r="K128" i="2"/>
  <c r="I128" i="2"/>
  <c r="L127" i="2"/>
  <c r="K127" i="2"/>
  <c r="I127" i="2"/>
  <c r="L126" i="2"/>
  <c r="K126" i="2"/>
  <c r="I126" i="2"/>
  <c r="L125" i="2"/>
  <c r="K125" i="2"/>
  <c r="I125" i="2"/>
  <c r="L124" i="2"/>
  <c r="K124" i="2"/>
  <c r="I124" i="2"/>
  <c r="L123" i="2"/>
  <c r="K123" i="2"/>
  <c r="I123" i="2"/>
  <c r="L122" i="2"/>
  <c r="K122" i="2"/>
  <c r="I122" i="2"/>
  <c r="L121" i="2"/>
  <c r="K121" i="2"/>
  <c r="I121" i="2"/>
  <c r="L120" i="2"/>
  <c r="K120" i="2"/>
  <c r="I120" i="2"/>
  <c r="L119" i="2"/>
  <c r="K119" i="2"/>
  <c r="I119" i="2"/>
  <c r="L118" i="2"/>
  <c r="K118" i="2"/>
  <c r="I118" i="2"/>
  <c r="L117" i="2"/>
  <c r="K117" i="2"/>
  <c r="I117" i="2"/>
  <c r="L116" i="2"/>
  <c r="K116" i="2"/>
  <c r="I116" i="2"/>
  <c r="L115" i="2"/>
  <c r="K115" i="2"/>
  <c r="I115" i="2"/>
  <c r="L114" i="2"/>
  <c r="K114" i="2"/>
  <c r="I114" i="2"/>
  <c r="L113" i="2"/>
  <c r="K113" i="2"/>
  <c r="I113" i="2"/>
  <c r="L112" i="2"/>
  <c r="K112" i="2"/>
  <c r="I112" i="2"/>
  <c r="L111" i="2"/>
  <c r="K111" i="2"/>
  <c r="I111" i="2"/>
  <c r="L110" i="2"/>
  <c r="K110" i="2"/>
  <c r="I110" i="2"/>
  <c r="L109" i="2"/>
  <c r="K109" i="2"/>
  <c r="I109" i="2"/>
  <c r="L108" i="2"/>
  <c r="K108" i="2"/>
  <c r="I108" i="2"/>
  <c r="L107" i="2"/>
  <c r="K107" i="2"/>
  <c r="I107" i="2"/>
  <c r="L106" i="2"/>
  <c r="K106" i="2"/>
  <c r="I106" i="2"/>
  <c r="L105" i="2"/>
  <c r="K105" i="2"/>
  <c r="I105" i="2"/>
  <c r="L104" i="2"/>
  <c r="K104" i="2"/>
  <c r="I104" i="2"/>
  <c r="L103" i="2"/>
  <c r="K103" i="2"/>
  <c r="I103" i="2"/>
  <c r="L102" i="2"/>
  <c r="K102" i="2"/>
  <c r="I102" i="2"/>
  <c r="L101" i="2"/>
  <c r="K101" i="2"/>
  <c r="I101" i="2"/>
  <c r="L100" i="2"/>
  <c r="K100" i="2"/>
  <c r="I100" i="2"/>
  <c r="L99" i="2"/>
  <c r="K99" i="2"/>
  <c r="I99" i="2"/>
  <c r="L98" i="2"/>
  <c r="K98" i="2"/>
  <c r="I98" i="2"/>
  <c r="L97" i="2"/>
  <c r="K97" i="2"/>
  <c r="I97" i="2"/>
  <c r="L96" i="2"/>
  <c r="K96" i="2"/>
  <c r="I96" i="2"/>
  <c r="L95" i="2"/>
  <c r="K95" i="2"/>
  <c r="I95" i="2"/>
  <c r="L94" i="2"/>
  <c r="K94" i="2"/>
  <c r="I94" i="2"/>
  <c r="L93" i="2"/>
  <c r="K93" i="2"/>
  <c r="I93" i="2"/>
  <c r="L92" i="2"/>
  <c r="K92" i="2"/>
  <c r="I92" i="2"/>
  <c r="L91" i="2"/>
  <c r="K91" i="2"/>
  <c r="I91" i="2"/>
  <c r="L90" i="2"/>
  <c r="K90" i="2"/>
  <c r="I90" i="2"/>
  <c r="L89" i="2"/>
  <c r="K89" i="2"/>
  <c r="I89" i="2"/>
  <c r="L88" i="2"/>
  <c r="K88" i="2"/>
  <c r="I88" i="2"/>
  <c r="L87" i="2"/>
  <c r="K87" i="2"/>
  <c r="I87" i="2"/>
  <c r="L86" i="2"/>
  <c r="K86" i="2"/>
  <c r="I86" i="2"/>
  <c r="L85" i="2"/>
  <c r="K85" i="2"/>
  <c r="I85" i="2"/>
  <c r="L84" i="2"/>
  <c r="K84" i="2"/>
  <c r="I84" i="2"/>
  <c r="L83" i="2"/>
  <c r="K83" i="2"/>
  <c r="I83" i="2"/>
  <c r="L82" i="2"/>
  <c r="K82" i="2"/>
  <c r="I82" i="2"/>
  <c r="L81" i="2"/>
  <c r="K81" i="2"/>
  <c r="I81" i="2"/>
  <c r="L80" i="2"/>
  <c r="K80" i="2"/>
  <c r="I80" i="2"/>
  <c r="L79" i="2"/>
  <c r="K79" i="2"/>
  <c r="I79" i="2"/>
  <c r="L78" i="2"/>
  <c r="K78" i="2"/>
  <c r="I78" i="2"/>
  <c r="L77" i="2"/>
  <c r="K77" i="2"/>
  <c r="I77" i="2"/>
  <c r="L76" i="2"/>
  <c r="K76" i="2"/>
  <c r="I76" i="2"/>
  <c r="L75" i="2"/>
  <c r="K75" i="2"/>
  <c r="I75" i="2"/>
  <c r="L74" i="2"/>
  <c r="K74" i="2"/>
  <c r="I74" i="2"/>
  <c r="L73" i="2"/>
  <c r="K73" i="2"/>
  <c r="I73" i="2"/>
  <c r="L72" i="2"/>
  <c r="K72" i="2"/>
  <c r="I72" i="2"/>
  <c r="L71" i="2"/>
  <c r="K71" i="2"/>
  <c r="I71" i="2"/>
  <c r="L70" i="2"/>
  <c r="K70" i="2"/>
  <c r="I70" i="2"/>
  <c r="L69" i="2"/>
  <c r="K69" i="2"/>
  <c r="I69" i="2"/>
  <c r="L68" i="2"/>
  <c r="K68" i="2"/>
  <c r="I68" i="2"/>
  <c r="L67" i="2"/>
  <c r="K67" i="2"/>
  <c r="I67" i="2"/>
  <c r="L66" i="2"/>
  <c r="K66" i="2"/>
  <c r="I66" i="2"/>
  <c r="L65" i="2"/>
  <c r="K65" i="2"/>
  <c r="I65" i="2"/>
  <c r="L64" i="2"/>
  <c r="K64" i="2"/>
  <c r="I64" i="2"/>
  <c r="L63" i="2"/>
  <c r="K63" i="2"/>
  <c r="I63" i="2"/>
  <c r="L62" i="2"/>
  <c r="K62" i="2"/>
  <c r="I62" i="2"/>
  <c r="L61" i="2"/>
  <c r="K61" i="2"/>
  <c r="I61" i="2"/>
  <c r="L60" i="2"/>
  <c r="K60" i="2"/>
  <c r="I60" i="2"/>
  <c r="L59" i="2"/>
  <c r="K59" i="2"/>
  <c r="I59" i="2"/>
  <c r="L58" i="2"/>
  <c r="K58" i="2"/>
  <c r="I58" i="2"/>
  <c r="L57" i="2"/>
  <c r="K57" i="2"/>
  <c r="I57" i="2"/>
  <c r="L56" i="2"/>
  <c r="K56" i="2"/>
  <c r="I56" i="2"/>
  <c r="L55" i="2"/>
  <c r="K55" i="2"/>
  <c r="I55" i="2"/>
  <c r="L54" i="2"/>
  <c r="K54" i="2"/>
  <c r="I54" i="2"/>
  <c r="L53" i="2"/>
  <c r="K53" i="2"/>
  <c r="I53" i="2"/>
  <c r="L52" i="2"/>
  <c r="K52" i="2"/>
  <c r="I52" i="2"/>
  <c r="L51" i="2"/>
  <c r="K51" i="2"/>
  <c r="I51" i="2"/>
  <c r="L50" i="2"/>
  <c r="K50" i="2"/>
  <c r="I50" i="2"/>
  <c r="L49" i="2"/>
  <c r="K49" i="2"/>
  <c r="I49" i="2"/>
  <c r="L48" i="2"/>
  <c r="K48" i="2"/>
  <c r="I48" i="2"/>
  <c r="L47" i="2"/>
  <c r="K47" i="2"/>
  <c r="I47" i="2"/>
  <c r="L46" i="2"/>
  <c r="K46" i="2"/>
  <c r="I46" i="2"/>
  <c r="L45" i="2"/>
  <c r="K45" i="2"/>
  <c r="I45" i="2"/>
  <c r="L44" i="2"/>
  <c r="K44" i="2"/>
  <c r="I44" i="2"/>
  <c r="L43" i="2"/>
  <c r="K43" i="2"/>
  <c r="I43" i="2"/>
  <c r="L42" i="2"/>
  <c r="K42" i="2"/>
  <c r="I42" i="2"/>
  <c r="L41" i="2"/>
  <c r="K41" i="2"/>
  <c r="I41" i="2"/>
  <c r="L40" i="2"/>
  <c r="K40" i="2"/>
  <c r="I40" i="2"/>
  <c r="L39" i="2"/>
  <c r="K39" i="2"/>
  <c r="I39" i="2"/>
  <c r="L38" i="2"/>
  <c r="K38" i="2"/>
  <c r="I38" i="2"/>
  <c r="L37" i="2"/>
  <c r="K37" i="2"/>
  <c r="I37" i="2"/>
  <c r="L36" i="2"/>
  <c r="K36" i="2"/>
  <c r="I36" i="2"/>
  <c r="L35" i="2"/>
  <c r="K35" i="2"/>
  <c r="I35" i="2"/>
  <c r="L34" i="2"/>
  <c r="K34" i="2"/>
  <c r="I34" i="2"/>
  <c r="L33" i="2"/>
  <c r="K33" i="2"/>
  <c r="I33" i="2"/>
  <c r="L32" i="2"/>
  <c r="K32" i="2"/>
  <c r="I32" i="2"/>
  <c r="L31" i="2"/>
  <c r="K31" i="2"/>
  <c r="I31" i="2"/>
  <c r="L30" i="2"/>
  <c r="K30" i="2"/>
  <c r="I30" i="2"/>
  <c r="L29" i="2"/>
  <c r="K29" i="2"/>
  <c r="I29" i="2"/>
  <c r="L28" i="2"/>
  <c r="K28" i="2"/>
  <c r="I28" i="2"/>
  <c r="L27" i="2"/>
  <c r="K27" i="2"/>
  <c r="I27" i="2"/>
  <c r="L26" i="2"/>
  <c r="K26" i="2"/>
  <c r="I26" i="2"/>
  <c r="L25" i="2"/>
  <c r="K25" i="2"/>
  <c r="I25" i="2"/>
  <c r="L24" i="2"/>
  <c r="K24" i="2"/>
  <c r="I24" i="2"/>
  <c r="L23" i="2"/>
  <c r="K23" i="2"/>
  <c r="I23" i="2"/>
  <c r="L22" i="2"/>
  <c r="K22" i="2"/>
  <c r="I22" i="2"/>
  <c r="L21" i="2"/>
  <c r="K21" i="2"/>
  <c r="I21" i="2"/>
  <c r="L20" i="2"/>
  <c r="K20" i="2"/>
  <c r="I20" i="2"/>
  <c r="L19" i="2"/>
  <c r="K19" i="2"/>
  <c r="I19" i="2"/>
  <c r="L18" i="2"/>
  <c r="K18" i="2"/>
  <c r="I18" i="2"/>
  <c r="L17" i="2"/>
  <c r="K17" i="2"/>
  <c r="I17" i="2"/>
  <c r="P16" i="2"/>
  <c r="L16" i="2"/>
  <c r="K16" i="2"/>
  <c r="I16" i="2"/>
  <c r="P15" i="2"/>
  <c r="L15" i="2"/>
  <c r="K15" i="2"/>
  <c r="I15" i="2"/>
  <c r="P14" i="2"/>
  <c r="L14" i="2"/>
  <c r="K14" i="2"/>
  <c r="I14" i="2"/>
  <c r="P13" i="2"/>
  <c r="L13" i="2"/>
  <c r="K13" i="2"/>
  <c r="I13" i="2"/>
  <c r="P12" i="2"/>
  <c r="L12" i="2"/>
  <c r="K12" i="2"/>
  <c r="I12" i="2"/>
  <c r="P11" i="2"/>
  <c r="L11" i="2"/>
  <c r="K11" i="2"/>
  <c r="I11" i="2"/>
  <c r="P10" i="2"/>
  <c r="L10" i="2"/>
  <c r="K10" i="2"/>
  <c r="I10" i="2"/>
  <c r="L9" i="2"/>
  <c r="K9" i="2"/>
  <c r="I9" i="2"/>
  <c r="P8" i="2"/>
  <c r="L8" i="2"/>
  <c r="K8" i="2"/>
  <c r="I8" i="2"/>
  <c r="P7" i="2"/>
  <c r="L7" i="2"/>
  <c r="K7" i="2"/>
  <c r="I7" i="2"/>
  <c r="P6" i="2"/>
  <c r="L6" i="2"/>
  <c r="K6" i="2"/>
  <c r="I6" i="2"/>
  <c r="P5" i="2"/>
  <c r="L5" i="2"/>
  <c r="K5" i="2"/>
  <c r="I5" i="2"/>
  <c r="P4" i="2"/>
  <c r="L4" i="2"/>
  <c r="K4" i="2"/>
  <c r="I4" i="2"/>
  <c r="L3" i="2"/>
  <c r="K3" i="2"/>
  <c r="I3" i="2"/>
  <c r="L2" i="2"/>
  <c r="K2" i="2"/>
  <c r="I2" i="2"/>
  <c r="E19" i="10"/>
  <c r="E20" i="10"/>
  <c r="B17" i="10"/>
  <c r="B18" i="10"/>
  <c r="B19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28236-7BDD-4F57-BDBD-EEF2D02C0D5E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<sst xmlns="http://schemas.openxmlformats.org/spreadsheetml/2006/main" count="3523" uniqueCount="672">
  <si>
    <t>Dataset d'entraînement Excel : ventes de 3 boutiques de quartier à Lomé</t>
  </si>
  <si>
    <t>Contexte : un petit commerçant possède 3 boutiques (Tokoin, Bè, Agoè). Il veut comprendre ses ventes du 1er janvier au 30 juin 2026.</t>
  </si>
  <si>
    <t>Les données sont FICTIVES (générées pour l'entraînement), mais les produits et les prix en FCFA sont réalistes.</t>
  </si>
  <si>
    <t>Contenu du fichier :</t>
  </si>
  <si>
    <t>• Ventes : données propres (≈ 400 lignes). Pour apprendre TCD, fonctions et graphiques.</t>
  </si>
  <si>
    <t>• Dictionnaire : explication de chaque colonne.</t>
  </si>
  <si>
    <t>• Exercices : 15 questions classées par niveau, avec la fonction Excel à utiliser.</t>
  </si>
  <si>
    <t>• Ventes_Brutes : version SALE des données (doublons, fautes, espaces, dates en texte). Pour apprendre le nettoyage et Power Query.</t>
  </si>
  <si>
    <t>Conseil : ne regarde pas de tutoriel. Essaie d'abord seul, cherche une fonction sur Google si tu bloques, puis réessaie.</t>
  </si>
  <si>
    <t>ID_Vente</t>
  </si>
  <si>
    <t>Date</t>
  </si>
  <si>
    <t>Boutique</t>
  </si>
  <si>
    <t>Vendeur</t>
  </si>
  <si>
    <t>Produit</t>
  </si>
  <si>
    <t>Catégorie</t>
  </si>
  <si>
    <t>Quantité</t>
  </si>
  <si>
    <t>Prix_Unitaire_FCFA</t>
  </si>
  <si>
    <t>Montant_Total_FCFA</t>
  </si>
  <si>
    <t>Mode_Paiement</t>
  </si>
  <si>
    <t>V0001</t>
  </si>
  <si>
    <t>Bè</t>
  </si>
  <si>
    <t>Afi</t>
  </si>
  <si>
    <t>Biscuits</t>
  </si>
  <si>
    <t>Épicerie</t>
  </si>
  <si>
    <t>Flooz</t>
  </si>
  <si>
    <t>V0002</t>
  </si>
  <si>
    <t>Tokoin</t>
  </si>
  <si>
    <t>Kofi</t>
  </si>
  <si>
    <t>Tomate concentrée</t>
  </si>
  <si>
    <t>Alimentaire</t>
  </si>
  <si>
    <t>T-Money</t>
  </si>
  <si>
    <t>V0003</t>
  </si>
  <si>
    <t>Yawo</t>
  </si>
  <si>
    <t>Bougies (lot de 6)</t>
  </si>
  <si>
    <t>Espèces</t>
  </si>
  <si>
    <t>V0004</t>
  </si>
  <si>
    <t>Sucre 1 kg</t>
  </si>
  <si>
    <t>V0005</t>
  </si>
  <si>
    <t>Ama</t>
  </si>
  <si>
    <t>Pâtes spaghetti 500 g</t>
  </si>
  <si>
    <t>V0006</t>
  </si>
  <si>
    <t>Riz 5 kg</t>
  </si>
  <si>
    <t>V0007</t>
  </si>
  <si>
    <t>V0008</t>
  </si>
  <si>
    <t>Agoè</t>
  </si>
  <si>
    <t>Komla</t>
  </si>
  <si>
    <t>Savon de toilette</t>
  </si>
  <si>
    <t>Hygiène</t>
  </si>
  <si>
    <t>V0009</t>
  </si>
  <si>
    <t>V0010</t>
  </si>
  <si>
    <t>V0011</t>
  </si>
  <si>
    <t>Eau minérale 1,5 L</t>
  </si>
  <si>
    <t>Boissons</t>
  </si>
  <si>
    <t>V0012</t>
  </si>
  <si>
    <t>Dentifrice</t>
  </si>
  <si>
    <t>V0013</t>
  </si>
  <si>
    <t>V0014</t>
  </si>
  <si>
    <t>Jus de fruit 1 L</t>
  </si>
  <si>
    <t>V0015</t>
  </si>
  <si>
    <t>Lait en poudre 400 g</t>
  </si>
  <si>
    <t>V0016</t>
  </si>
  <si>
    <t>V0017</t>
  </si>
  <si>
    <t>Essi</t>
  </si>
  <si>
    <t>V0018</t>
  </si>
  <si>
    <t>V0019</t>
  </si>
  <si>
    <t>V0020</t>
  </si>
  <si>
    <t>Piles AA (lot de 4)</t>
  </si>
  <si>
    <t>V0021</t>
  </si>
  <si>
    <t>V0022</t>
  </si>
  <si>
    <t>V0023</t>
  </si>
  <si>
    <t>Boisson gazeuse 50 cl</t>
  </si>
  <si>
    <t>V0024</t>
  </si>
  <si>
    <t>V0025</t>
  </si>
  <si>
    <t>Lessive 500 g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</si>
  <si>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</si>
  <si>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</si>
  <si>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</si>
  <si>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</si>
  <si>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</si>
  <si>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</si>
  <si>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</si>
  <si>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</si>
  <si>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</si>
  <si>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</si>
  <si>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</si>
  <si>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</si>
  <si>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</si>
  <si>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Huile végétale 1 L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</si>
  <si>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</si>
  <si>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</si>
  <si>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</si>
  <si>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</si>
  <si>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</si>
  <si>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</si>
  <si>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</si>
  <si>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</si>
  <si>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</si>
  <si>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</si>
  <si>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</si>
  <si>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</si>
  <si>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</si>
  <si>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</si>
  <si>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</si>
  <si>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</si>
  <si>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</si>
  <si>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</si>
  <si>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</si>
  <si>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</si>
  <si>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</si>
  <si>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</si>
  <si>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</si>
  <si>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</si>
  <si>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</si>
  <si>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</si>
  <si>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</si>
  <si>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</si>
  <si>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</si>
  <si>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</si>
  <si>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</si>
  <si>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</si>
  <si>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</si>
  <si>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</si>
  <si>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</si>
  <si>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</si>
  <si>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</si>
  <si>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</si>
  <si>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</si>
  <si>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</si>
  <si>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</si>
  <si>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</si>
  <si>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</si>
  <si>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</si>
  <si>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</si>
  <si>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</si>
  <si>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</si>
  <si>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</si>
  <si>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</si>
  <si>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</si>
  <si>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</si>
  <si>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</si>
  <si>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</si>
  <si>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</si>
  <si>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</si>
  <si>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</si>
  <si>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</si>
  <si>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</si>
  <si>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</si>
  <si>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</si>
  <si>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</si>
  <si>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</si>
  <si>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</si>
  <si>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</si>
  <si>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</si>
  <si>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</si>
  <si>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</si>
  <si>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</si>
  <si>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</si>
  <si>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</si>
  <si>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</si>
  <si>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</si>
  <si>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</si>
  <si>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</si>
  <si>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</si>
  <si>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</si>
  <si>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</si>
  <si>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</si>
  <si>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</si>
  <si>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</si>
  <si>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</si>
  <si>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</si>
  <si>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</si>
  <si>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</si>
  <si>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</si>
  <si>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</si>
  <si>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</si>
  <si>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</si>
  <si>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</si>
  <si>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</si>
  <si>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</si>
  <si>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</si>
  <si>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</si>
  <si>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</si>
  <si>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</si>
  <si>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</si>
  <si>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</si>
  <si>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</si>
  <si>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</si>
  <si>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</si>
  <si>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</si>
  <si>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</si>
  <si>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</si>
  <si>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</si>
  <si>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</si>
  <si>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</si>
  <si>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</si>
  <si>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</si>
  <si>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</si>
  <si>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</si>
  <si>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</si>
  <si>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</si>
  <si>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</si>
  <si>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</si>
  <si>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</si>
  <si>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</si>
  <si>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</si>
  <si>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</si>
  <si>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</si>
  <si>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</si>
  <si>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</si>
  <si>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</si>
  <si>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</si>
  <si>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</si>
  <si>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</si>
  <si>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</si>
  <si>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</si>
  <si>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</si>
  <si>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</si>
  <si>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</si>
  <si>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</si>
  <si>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</si>
  <si>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</si>
  <si>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</si>
  <si>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</si>
  <si>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</si>
  <si>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</si>
  <si>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</si>
  <si>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</si>
  <si>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</si>
  <si>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</si>
  <si>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</si>
  <si>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</si>
  <si>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</si>
  <si>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</si>
  <si>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</si>
  <si>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</si>
  <si>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</si>
  <si>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</si>
  <si>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</si>
  <si>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</si>
  <si>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</si>
  <si>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</si>
  <si>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</si>
  <si>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</si>
  <si>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</si>
  <si>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</si>
  <si>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</si>
  <si>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</si>
  <si>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</si>
  <si>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</si>
  <si>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</si>
  <si>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</si>
  <si>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</si>
  <si>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</si>
  <si>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</si>
  <si>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</si>
  <si>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</si>
  <si>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</si>
  <si>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</si>
  <si>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</si>
  <si>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</si>
  <si>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</si>
  <si>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</si>
  <si>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</si>
  <si>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</si>
  <si>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</si>
  <si>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</si>
  <si>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</si>
  <si>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</si>
  <si>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</si>
  <si>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</si>
  <si>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</si>
  <si>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</si>
  <si>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</si>
  <si>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</si>
  <si>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</si>
  <si>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</si>
  <si>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</si>
  <si>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</si>
  <si>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</si>
  <si>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</si>
  <si>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</si>
  <si>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</si>
  <si>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</si>
  <si>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</si>
  <si>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</si>
  <si>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</si>
  <si>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</si>
  <si>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</si>
  <si>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</si>
  <si>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</si>
  <si>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</si>
  <si>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</si>
  <si>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</si>
  <si>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</si>
  <si>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</si>
  <si>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</si>
  <si>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</si>
  <si>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</si>
  <si>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</si>
  <si>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</si>
  <si>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</si>
  <si>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</si>
  <si>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</si>
  <si>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</si>
  <si>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</si>
  <si>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</si>
  <si>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</si>
  <si>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</si>
  <si>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</si>
  <si>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</si>
  <si>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</si>
  <si>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</si>
  <si>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</si>
  <si>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</si>
  <si>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</si>
  <si>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</si>
  <si>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</si>
  <si>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</si>
  <si>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</si>
  <si>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</si>
  <si>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</si>
  <si>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</si>
  <si>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</si>
  <si>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</si>
  <si>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</si>
  <si>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</si>
  <si>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</si>
  <si>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</si>
  <si>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</si>
  <si>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</si>
  <si>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</si>
  <si>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</si>
  <si>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</si>
  <si>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</si>
  <si>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</si>
  <si>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</si>
  <si>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</si>
  <si>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</si>
  <si>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</si>
  <si>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</si>
  <si>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</si>
  <si>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</si>
  <si>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</si>
  <si>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</si>
  <si>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</si>
  <si>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</si>
  <si>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</si>
  <si>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</si>
  <si>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</si>
  <si>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</si>
  <si>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</si>
  <si>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</si>
  <si>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</si>
  <si>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</si>
  <si>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</si>
  <si>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</si>
  <si>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</si>
  <si>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</si>
  <si>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</si>
  <si>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</si>
  <si>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</si>
  <si>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</si>
  <si>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</si>
  <si>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</si>
  <si>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</si>
  <si>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</si>
  <si>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</si>
  <si>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</si>
  <si>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</si>
  <si>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</si>
  <si>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</si>
  <si>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</si>
  <si>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</si>
  <si>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</si>
  <si>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</si>
  <si>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</si>
  <si>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</si>
  <si>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</si>
  <si>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</si>
  <si>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</si>
  <si>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</si>
  <si>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</si>
  <si>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</si>
  <si>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</si>
  <si>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</si>
  <si>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</si>
  <si>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</si>
  <si>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</si>
  <si>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</si>
  <si>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</si>
  <si>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</si>
  <si>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</si>
  <si>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</si>
  <si>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</si>
  <si>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</si>
  <si>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</si>
  <si>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</si>
  <si>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</si>
  <si>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</si>
  <si>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</si>
  <si>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</si>
  <si>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</si>
  <si>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</si>
  <si>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</si>
  <si>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</si>
  <si>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</si>
  <si>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</si>
  <si>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</si>
  <si>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</si>
  <si>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</si>
  <si>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</si>
  <si>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</si>
  <si>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</si>
  <si>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</si>
  <si>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</si>
  <si>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</si>
  <si>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</si>
  <si>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</si>
  <si>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</si>
  <si>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</si>
  <si>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</si>
  <si>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</si>
  <si>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</si>
  <si>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</si>
  <si>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</si>
  <si>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</si>
  <si>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</si>
  <si>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</si>
  <si>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</si>
  <si>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</si>
  <si>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</si>
  <si>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</si>
  <si>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</si>
  <si>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</si>
  <si>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</si>
  <si>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</si>
  <si>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</si>
  <si>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</si>
  <si>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</si>
  <si>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</si>
  <si>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</si>
  <si>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</si>
  <si>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</si>
  <si>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</si>
  <si>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</si>
  <si>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</si>
  <si>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</si>
  <si>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</si>
  <si>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</si>
  <si>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</si>
  <si>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Colonne</t>
  </si>
  <si>
    <t>Signification</t>
  </si>
  <si>
    <t>Exemple</t>
  </si>
  <si>
    <t>Numéro unique de la ligne de vente</t>
  </si>
  <si>
    <t>Jour de la vente</t>
  </si>
  <si>
    <t>15/03/2026</t>
  </si>
  <si>
    <t>Quartier de la boutique (Tokoin, Bè ou Agoè)</t>
  </si>
  <si>
    <t>Prénom du vendeur qui a fait la vente</t>
  </si>
  <si>
    <t>Nom du produit vendu</t>
  </si>
  <si>
    <t>Famille du produit (Alimentaire, Boissons, Hygiène, Épicerie)</t>
  </si>
  <si>
    <t>Nombre d'unités vendues sur cette ligne</t>
  </si>
  <si>
    <t>3</t>
  </si>
  <si>
    <t>Prix d'une unité, en francs CFA</t>
  </si>
  <si>
    <t>3 500</t>
  </si>
  <si>
    <t>Quantité × Prix unitaire (colonne calculée par formule)</t>
  </si>
  <si>
    <t>10 500</t>
  </si>
  <si>
    <t>Espèces, T-Money ou Flooz (mobile money)</t>
  </si>
  <si>
    <t>N°</t>
  </si>
  <si>
    <t>Niveau</t>
  </si>
  <si>
    <t>Question</t>
  </si>
  <si>
    <t>Fonction / outil à chercher</t>
  </si>
  <si>
    <t>Débutant</t>
  </si>
  <si>
    <t>Quel est le chiffre d'affaires total sur les 6 mois ?</t>
  </si>
  <si>
    <t>SOMME</t>
  </si>
  <si>
    <t>Combien de lignes de vente y a-t-il ? Quel est le montant moyen d'une vente ?</t>
  </si>
  <si>
    <t>NBVAL, MOYENNE</t>
  </si>
  <si>
    <t>Quel est le produit le plus cher et le moins cher du catalogue ?</t>
  </si>
  <si>
    <t>MAX, MIN</t>
  </si>
  <si>
    <t>Trie les ventes de la plus grosse à la plus petite et filtre uniquement la boutique Bè.</t>
  </si>
  <si>
    <t>Trier et filtrer</t>
  </si>
  <si>
    <t>Intermédiaire</t>
  </si>
  <si>
    <t>Quel est le chiffre d'affaires de chaque boutique ?</t>
  </si>
  <si>
    <t>SOMME.SI ou tableau croisé dynamique</t>
  </si>
  <si>
    <t>Combien de ventes ont été payées en T-Money ? Et en Flooz ?</t>
  </si>
  <si>
    <t>NB.SI</t>
  </si>
  <si>
    <t>Quel est le CA de la boutique Agoè pour la catégorie Boissons ?</t>
  </si>
  <si>
    <t>SOMME.SI.ENS</t>
  </si>
  <si>
    <t>Crée une colonne Mois (janvier, février...) à partir de la date.</t>
  </si>
  <si>
    <t>TEXTE ou MOIS</t>
  </si>
  <si>
    <t>Quel mois a le meilleur chiffre d'affaires ?</t>
  </si>
  <si>
    <t>Tableau croisé dynamique</t>
  </si>
  <si>
    <t>Quel vendeur génère le plus de CA ? Fais un classement.</t>
  </si>
  <si>
    <t>TCD + tri</t>
  </si>
  <si>
    <t>Avancé</t>
  </si>
  <si>
    <t>Quels sont les 5 produits qui rapportent le plus ? Montre-les dans un graphique en barres.</t>
  </si>
  <si>
    <t>TCD + graphique</t>
  </si>
  <si>
    <t>Quelle part du CA représente chaque mode de paiement (en %) ?</t>
  </si>
  <si>
    <t>TCD, % du total</t>
  </si>
  <si>
    <t>Crée une colonne « Gros panier » qui affiche OUI si le montant dépasse 5 000 FCFA, sinon NON.</t>
  </si>
  <si>
    <t>SI</t>
  </si>
  <si>
    <t>Crée un mini-tableau de bord : CA total, CA par boutique, CA par mois, avec des segments pour filtrer.</t>
  </si>
  <si>
    <t>TCD + segments + graphiques</t>
  </si>
  <si>
    <t>Écris 3 constats utiles pour le commerçant (ex : quelle boutique performe le mieux, quel produit pousser).</t>
  </si>
  <si>
    <t>Analyse et rédaction</t>
  </si>
  <si>
    <t>Prix_Unitaire</t>
  </si>
  <si>
    <t>Mission nettoyage :</t>
  </si>
  <si>
    <t>tokoin</t>
  </si>
  <si>
    <t>BISCUITS</t>
  </si>
  <si>
    <t>t-money</t>
  </si>
  <si>
    <t>1. Supprimer les doublons</t>
  </si>
  <si>
    <t>16/01/2026</t>
  </si>
  <si>
    <t>AGOÈ</t>
  </si>
  <si>
    <t>JUS DE FRUIT 1 L</t>
  </si>
  <si>
    <t>espèces</t>
  </si>
  <si>
    <t>2. Uniformiser Boutique, Produit, Mode_Paiement (majuscules, espaces)</t>
  </si>
  <si>
    <t>26/02/2026</t>
  </si>
  <si>
    <t xml:space="preserve">Tokoin </t>
  </si>
  <si>
    <t>1000 FCFA</t>
  </si>
  <si>
    <t>TMONEY</t>
  </si>
  <si>
    <t>3. Convertir toutes les dates en vrai format date</t>
  </si>
  <si>
    <t>2026-05-18</t>
  </si>
  <si>
    <t xml:space="preserve"> Agoè</t>
  </si>
  <si>
    <t>250</t>
  </si>
  <si>
    <t>flooz</t>
  </si>
  <si>
    <t>4. Garder uniquement les chiffres dans Prix_Unitaire</t>
  </si>
  <si>
    <t xml:space="preserve"> Tokoin</t>
  </si>
  <si>
    <t>5. Repérer et traiter les Quantités vides</t>
  </si>
  <si>
    <t>2026-06-24</t>
  </si>
  <si>
    <t>TOKOIN</t>
  </si>
  <si>
    <t>1500 FCFA</t>
  </si>
  <si>
    <t>agoè</t>
  </si>
  <si>
    <t>900</t>
  </si>
  <si>
    <t>30/03/2026</t>
  </si>
  <si>
    <t>400 FCFA</t>
  </si>
  <si>
    <t xml:space="preserve">Lait en poudre 400 g </t>
  </si>
  <si>
    <t>2 500</t>
  </si>
  <si>
    <t>BÈ</t>
  </si>
  <si>
    <t>piles aa (lot de 4)</t>
  </si>
  <si>
    <t>300</t>
  </si>
  <si>
    <t>300 FCFA</t>
  </si>
  <si>
    <t>23/05/2026</t>
  </si>
  <si>
    <t>700 FCFA</t>
  </si>
  <si>
    <t xml:space="preserve"> Bè</t>
  </si>
  <si>
    <t xml:space="preserve">Tomate concentrée </t>
  </si>
  <si>
    <t>BOISSON GAZEUSE 50 CL</t>
  </si>
  <si>
    <t>BOUGIES (LOT DE 6)</t>
  </si>
  <si>
    <t>PILES AA (LOT DE 4)</t>
  </si>
  <si>
    <t>1200 FCFA</t>
  </si>
  <si>
    <t xml:space="preserve">Pâtes spaghetti 500 g </t>
  </si>
  <si>
    <t>450</t>
  </si>
  <si>
    <t>03/03/2026</t>
  </si>
  <si>
    <t>08/05/2026</t>
  </si>
  <si>
    <t>biscuits</t>
  </si>
  <si>
    <t>250 FCFA</t>
  </si>
  <si>
    <t>2026-02-26</t>
  </si>
  <si>
    <t>RIZ 5 KG</t>
  </si>
  <si>
    <t>2026-02-28</t>
  </si>
  <si>
    <t xml:space="preserve">Jus de fruit 1 L </t>
  </si>
  <si>
    <t xml:space="preserve">Flooz </t>
  </si>
  <si>
    <t>2026-06-11</t>
  </si>
  <si>
    <t>LESSIVE 500 G</t>
  </si>
  <si>
    <t>2026-06-20</t>
  </si>
  <si>
    <t>DENTIFRICE</t>
  </si>
  <si>
    <t>2026-03-06</t>
  </si>
  <si>
    <t>bè</t>
  </si>
  <si>
    <t xml:space="preserve">Biscuits </t>
  </si>
  <si>
    <t>2026-02-27</t>
  </si>
  <si>
    <t xml:space="preserve">Dentifrice </t>
  </si>
  <si>
    <t>700</t>
  </si>
  <si>
    <t xml:space="preserve">Espèces </t>
  </si>
  <si>
    <t xml:space="preserve">Agoè </t>
  </si>
  <si>
    <t>huile végétale 1 l</t>
  </si>
  <si>
    <t>1 500</t>
  </si>
  <si>
    <t>tomate concentrée</t>
  </si>
  <si>
    <t>19/05/2026</t>
  </si>
  <si>
    <t xml:space="preserve">Bè </t>
  </si>
  <si>
    <t>2026-01-20</t>
  </si>
  <si>
    <t>dentifrice</t>
  </si>
  <si>
    <t>2026-03-11</t>
  </si>
  <si>
    <t>HUILE VÉGÉTALE 1 L</t>
  </si>
  <si>
    <t>2026-05-22</t>
  </si>
  <si>
    <t xml:space="preserve">Piles AA (lot de 4) </t>
  </si>
  <si>
    <t>04/03/2026</t>
  </si>
  <si>
    <t>12/02/2026</t>
  </si>
  <si>
    <t>eau minérale 1,5 l</t>
  </si>
  <si>
    <t xml:space="preserve">TMoney </t>
  </si>
  <si>
    <t>2026-02-20</t>
  </si>
  <si>
    <t>sucre 1 kg</t>
  </si>
  <si>
    <t>2026-06-16</t>
  </si>
  <si>
    <t>2026-03-23</t>
  </si>
  <si>
    <t>savon de toilette</t>
  </si>
  <si>
    <t>2026-02-21</t>
  </si>
  <si>
    <t>2026-04-15</t>
  </si>
  <si>
    <t>800 FCFA</t>
  </si>
  <si>
    <t>boisson gazeuse 50 cl</t>
  </si>
  <si>
    <t>2026-03-17</t>
  </si>
  <si>
    <t>lessive 500 g</t>
  </si>
  <si>
    <t>2026-04-29</t>
  </si>
  <si>
    <t>26/04/2026</t>
  </si>
  <si>
    <t>lait en poudre 400 g</t>
  </si>
  <si>
    <t>06/06/2026</t>
  </si>
  <si>
    <t>pâtes spaghetti 500 g</t>
  </si>
  <si>
    <t>EAU MINÉRALE 1,5 L</t>
  </si>
  <si>
    <t>500</t>
  </si>
  <si>
    <t>2026-04-09</t>
  </si>
  <si>
    <t xml:space="preserve">Eau minérale 1,5 L </t>
  </si>
  <si>
    <t>400</t>
  </si>
  <si>
    <t>900 FCFA</t>
  </si>
  <si>
    <t>05/04/2026</t>
  </si>
  <si>
    <t>TOMATE CONCENTRÉE</t>
  </si>
  <si>
    <t>20/04/2026</t>
  </si>
  <si>
    <t xml:space="preserve">Savon de toilette </t>
  </si>
  <si>
    <t>23/01/2026</t>
  </si>
  <si>
    <t xml:space="preserve">CA Total </t>
  </si>
  <si>
    <t xml:space="preserve">Ligne de ventes </t>
  </si>
  <si>
    <t>Montant moyen</t>
  </si>
  <si>
    <t>Prix max</t>
  </si>
  <si>
    <t>Prix min</t>
  </si>
  <si>
    <t>Le produit le moins cher est le biscuit à 250 et le produit le plus chef est le sac de riz de 5kg à 3500</t>
  </si>
  <si>
    <t>CA _Bè</t>
  </si>
  <si>
    <t>CA_Tokoin</t>
  </si>
  <si>
    <t>CA_Agoè</t>
  </si>
  <si>
    <t xml:space="preserve">Total </t>
  </si>
  <si>
    <t>Nb vente T-money</t>
  </si>
  <si>
    <t>Nb vente Flooz</t>
  </si>
  <si>
    <t>CA_cat</t>
  </si>
  <si>
    <t>Mois</t>
  </si>
  <si>
    <t>Étiquettes de lignes</t>
  </si>
  <si>
    <t>janvier</t>
  </si>
  <si>
    <t>février</t>
  </si>
  <si>
    <t>mars</t>
  </si>
  <si>
    <t>avril</t>
  </si>
  <si>
    <t>mai</t>
  </si>
  <si>
    <t>juin</t>
  </si>
  <si>
    <t>Total général</t>
  </si>
  <si>
    <t>Somme de Montant_Total_FCFA</t>
  </si>
  <si>
    <t>Le mois d'avril a le meilleur CA (200000)</t>
  </si>
  <si>
    <t>Jus De Fruit 1 L</t>
  </si>
  <si>
    <t>Piles Aa (Lot De 4)</t>
  </si>
  <si>
    <t>Huile Végétale 1 L</t>
  </si>
  <si>
    <t>Lessive 500 G</t>
  </si>
  <si>
    <t>Boisson Gazeuse 50 Cl</t>
  </si>
  <si>
    <t>Savon De Toilette</t>
  </si>
  <si>
    <t>Pâtes Spaghetti 500 G</t>
  </si>
  <si>
    <t>Bougies (Lot De 6)</t>
  </si>
  <si>
    <t>Riz 5 Kg</t>
  </si>
  <si>
    <t>Tomate Concentrée</t>
  </si>
  <si>
    <t>Eau Minérale 1,5 L</t>
  </si>
  <si>
    <t>Sucre 1 Kg</t>
  </si>
  <si>
    <t>Lait En Poudre 400 G</t>
  </si>
  <si>
    <t xml:space="preserve">Gros panier </t>
  </si>
  <si>
    <t xml:space="preserve">Les lignes F6, F7, F31, F33, F73, F76, et F80 de la colonne Quantité n'ont aucune valeurs  </t>
  </si>
  <si>
    <t xml:space="preserve">Je les ai laissées vides pour qu'ils n'influent pas sur mon analyse </t>
  </si>
  <si>
    <t>Nombre de ID_Vente</t>
  </si>
  <si>
    <t>Étiquettes de colonnes</t>
  </si>
  <si>
    <r>
      <t>Action :</t>
    </r>
    <r>
      <rPr>
        <sz val="11"/>
        <color theme="1"/>
        <rFont val="Calibri"/>
        <family val="2"/>
        <charset val="1"/>
      </rPr>
      <t xml:space="preserve"> demander au commerçant ce qui s’est passé en mars (rupture de stock, jours de fermeture, événement).</t>
    </r>
  </si>
  <si>
    <t>janv</t>
  </si>
  <si>
    <t>févr</t>
  </si>
  <si>
    <t>avr</t>
  </si>
  <si>
    <t>Somme de Quantité</t>
  </si>
  <si>
    <t>De février à mars on remarque une diminution du CA de 21 %, 150 000 FCFA en février contre 118 500 en mars ( c'est le mois le plus faible )</t>
  </si>
  <si>
    <t>Il y'a eu moins de vente en mars qu'en février (54 en mars contre 61 en février ), et aussi une diminution du panier moyen 2 459 à 2 194 FCFA. La baisse vient donc à parts égales de moins de ventes et de paniers plus petits.</t>
  </si>
  <si>
    <t xml:space="preserve">  L'alimentaire représente 59,35% du CA de Tokoin contre 41,38% pour Agoè ce qui explique l'écart entre les paniers moyens( l'alimentaire contient les produits avec le PU le plus élevé).</t>
  </si>
  <si>
    <t xml:space="preserve">   Le riz de 5kg a le plus grand CA mais il fait parti des produits au plus faible nombre de ventes, seulement 39 unités comparées aux 135 unités du dentifrice.</t>
  </si>
  <si>
    <t xml:space="preserve">   Action: Demander au commerçant de veiller à ce que le riz ne soit pas en rupture et garder du dentifrice en stock c'est lui qui produit le plus de Vente. </t>
  </si>
  <si>
    <t xml:space="preserve">   Son CA peut s'expliquer par son prix unitaire 3500 le plus élevé de tous les produits. </t>
  </si>
  <si>
    <t xml:space="preserve">  Limites: On sait juste que le CA a diminué en mars, on n'en connaît pas la cause exacte </t>
  </si>
  <si>
    <t xml:space="preserve">  Action: Demander au commerçant de la boutique de Tokoin de veiller au réapprovisionnement régulier des produits alimentaires </t>
  </si>
  <si>
    <t xml:space="preserve">   Limites: l'absence de la marge ne permet pas de désigner de façon définitive le produit le plus performant</t>
  </si>
  <si>
    <t xml:space="preserve">  Limites: Les données nous montrent juste que dans la boutique de Tokoin les clients ont une préférence pour les produits alimentaires nous n'en connaissons pas la cause exacte. </t>
  </si>
  <si>
    <t xml:space="preserve">  Les 3 boutiques font à peu près le même nombre de vente le CA de Tokoin est dû à un panier moyen plus élevé 2579 FCFA Contre les 2325 FCFA d'Agoè soit +11%.</t>
  </si>
  <si>
    <t xml:space="preserve">  Exemple: Le riz représente 19,68% du CA de Tokoin contre 5,58% pour Agoè( 19 sacs de riz à Tokoin contre 5 à Agoè).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</si>
</sst>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F CFA-300C]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Calibri"/>
      <family val="2"/>
      <charset val="1"/>
    </font>
    <font>
      <b/>
      <sz val="11"/>
      <color rgb="FFFFFFFF"/>
      <name val="Arial"/>
      <family val="2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4" fillId="2" borderId="0" xfId="0" applyFont="1" applyFill="1"/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/>
    <xf numFmtId="10" fontId="0" fillId="0" borderId="0" xfId="0" applyNumberFormat="1"/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[dataset-excel-boutiques-lome_1 (version 1) (Récupéré).xlsx]TCD!Tableau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Evolution du 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21942624304828"/>
          <c:y val="0.29899869138937518"/>
          <c:w val="0.74119046308022685"/>
          <c:h val="0.47504014631931007"/>
        </c:manualLayout>
      </c:layout>
      <c:lineChart>
        <c:grouping val="standard"/>
        <c:varyColors val="0"/>
        <c:ser>
          <c:idx val="0"/>
          <c:order val="0"/>
          <c:tx>
            <c:strRef>
              <c:f>TCD!$B$1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TCD!$A$2:$A$8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TCD!$B$2:$B$8</c:f>
              <c:numCache>
                <c:formatCode>#,##0</c:formatCode>
                <c:ptCount val="6"/>
                <c:pt idx="0">
                  <c:v>153300</c:v>
                </c:pt>
                <c:pt idx="1">
                  <c:v>150000</c:v>
                </c:pt>
                <c:pt idx="2">
                  <c:v>118500</c:v>
                </c:pt>
                <c:pt idx="3">
                  <c:v>200500</c:v>
                </c:pt>
                <c:pt idx="4">
                  <c:v>173750</c:v>
                </c:pt>
                <c:pt idx="5">
                  <c:v>181550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CDA-AA85-4518AB42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891048"/>
        <c:axId val="849891768"/>
      </c:lineChart>
      <c:catAx>
        <c:axId val="84989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9891768"/>
        <c:crosses val="autoZero"/>
        <c:auto val="1"/>
        <c:lblAlgn val="ctr"/>
        <c:lblOffset val="100"/>
        <c:noMultiLvlLbl val="0"/>
      </c:catAx>
      <c:valAx>
        <c:axId val="84989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989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[dataset-excel-boutiques-lome_1 (version 1) (Récupéré).xlsx]TCD!Tableau croisé dynamique4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TCD!$A$14:$A$19</c:f>
              <c:strCache>
                <c:ptCount val="5"/>
                <c:pt idx="0">
                  <c:v>Riz 5 kg</c:v>
                </c:pt>
                <c:pt idx="1">
                  <c:v>Jus de fruit 1 L</c:v>
                </c:pt>
                <c:pt idx="2">
                  <c:v>Lait en poudre 400 g</c:v>
                </c:pt>
                <c:pt idx="3">
                  <c:v>Sucre 1 kg</c:v>
                </c:pt>
                <c:pt idx="4">
                  <c:v>Dentifrice</c:v>
                </c:pt>
              </c:strCache>
            </c:strRef>
          </c:cat>
          <c:val>
            <c:numRef>
              <c:f>TCD!$B$14:$B$19</c:f>
              <c:numCache>
                <c:formatCode>#,##0</c:formatCode>
                <c:ptCount val="5"/>
                <c:pt idx="0">
                  <c:v>136500</c:v>
                </c:pt>
                <c:pt idx="1">
                  <c:v>124000</c:v>
                </c:pt>
                <c:pt idx="2">
                  <c:v>100000</c:v>
                </c:pt>
                <c:pt idx="3">
                  <c:v>95200</c:v>
                </c:pt>
                <c:pt idx="4">
                  <c:v>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6-451E-9702-9C03AF6D5C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38596728"/>
        <c:axId val="538593848"/>
      </c:barChart>
      <c:catAx>
        <c:axId val="53859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593848"/>
        <c:crosses val="autoZero"/>
        <c:auto val="1"/>
        <c:lblAlgn val="ctr"/>
        <c:lblOffset val="100"/>
        <c:noMultiLvlLbl val="0"/>
      </c:catAx>
      <c:valAx>
        <c:axId val="53859384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3859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[dataset-excel-boutiques-lome_1 (version 1) (Récupéré).xlsx]TCD!Tableau croisé dynamique1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Mode de paiement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TCD!$F$10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0C-49CA-BD25-E955A48DFE7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0C-49CA-BD25-E955A48DFE7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0C-49CA-BD25-E955A48D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TCD!$E$11:$E$14</c:f>
              <c:strCache>
                <c:ptCount val="3"/>
                <c:pt idx="0">
                  <c:v>Espèces</c:v>
                </c:pt>
                <c:pt idx="1">
                  <c:v>Flooz</c:v>
                </c:pt>
                <c:pt idx="2">
                  <c:v>T-Money</c:v>
                </c:pt>
              </c:strCache>
            </c:strRef>
          </c:cat>
          <c:val>
            <c:numRef>
              <c:f>TCD!$F$11:$F$14</c:f>
              <c:numCache>
                <c:formatCode>0.00%</c:formatCode>
                <c:ptCount val="3"/>
                <c:pt idx="0">
                  <c:v>0.58894230769230771</c:v>
                </c:pt>
                <c:pt idx="1">
                  <c:v>0.16494476268412439</c:v>
                </c:pt>
                <c:pt idx="2">
                  <c:v>0.24611292962356793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0C-49CA-BD25-E955A48DFE7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[dataset-excel-boutiques-lome_1 (version 1) (Récupéré).xlsx]Calculs!Tableau croisé dynamique8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Calculs!$A$2:$A$5</c:f>
              <c:strCache>
                <c:ptCount val="3"/>
                <c:pt idx="0">
                  <c:v>Agoè</c:v>
                </c:pt>
                <c:pt idx="1">
                  <c:v>Bè</c:v>
                </c:pt>
                <c:pt idx="2">
                  <c:v>Tokoin</c:v>
                </c:pt>
              </c:strCache>
            </c:strRef>
          </c:cat>
          <c:val>
            <c:numRef>
              <c:f>Calculs!$B$2:$B$5</c:f>
              <c:numCache>
                <c:formatCode>General</c:formatCode>
                <c:ptCount val="3"/>
                <c:pt idx="0">
                  <c:v>313900</c:v>
                </c:pt>
                <c:pt idx="1">
                  <c:v>325850</c:v>
                </c:pt>
                <c:pt idx="2">
                  <c:v>337850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C-4412-B390-C2F8A487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51112"/>
        <c:axId val="420351832"/>
      </c:barChart>
      <c:catAx>
        <c:axId val="42035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351832"/>
        <c:crosses val="autoZero"/>
        <c:auto val="1"/>
        <c:lblAlgn val="ctr"/>
        <c:lblOffset val="100"/>
        <c:noMultiLvlLbl val="0"/>
      </c:catAx>
      <c:valAx>
        <c:axId val="420351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35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0</xdr:row>
      <xdr:rowOff>144780</xdr:rowOff>
    </xdr:from>
    <xdr:to>
      <xdr:col>16</xdr:col>
      <xdr:colOff>487680</xdr:colOff>
      <xdr:row>5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250E13-60AF-5118-669F-729B081A613F}"/>
            </a:ext>
          </a:extLst>
        </xdr:cNvPr>
        <xdr:cNvSpPr/>
      </xdr:nvSpPr>
      <xdr:spPr>
        <a:xfrm>
          <a:off x="426720" y="144780"/>
          <a:ext cx="12740640" cy="876300"/>
        </a:xfrm>
        <a:prstGeom prst="rect">
          <a:avLst/>
        </a:prstGeom>
        <a:solidFill>
          <a:schemeClr val="accent4">
            <a:lumMod val="75000"/>
          </a:schemeClr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Tableau</a:t>
          </a:r>
          <a:r>
            <a:rPr lang="fr-FR" sz="28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bord des ventes </a:t>
          </a:r>
          <a:endParaRPr lang="fr-FR" sz="2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388620</xdr:colOff>
      <xdr:row>15</xdr:row>
      <xdr:rowOff>7620</xdr:rowOff>
    </xdr:from>
    <xdr:to>
      <xdr:col>13</xdr:col>
      <xdr:colOff>53340</xdr:colOff>
      <xdr:row>29</xdr:row>
      <xdr:rowOff>160020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1ECED8E-6475-A157-B943-D9DB1167E0B0}"/>
            </a:ext>
          </a:extLst>
        </xdr:cNvPr>
        <xdr:cNvSpPr/>
      </xdr:nvSpPr>
      <xdr:spPr>
        <a:xfrm>
          <a:off x="3558540" y="2750820"/>
          <a:ext cx="6797040" cy="271272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129540</xdr:colOff>
      <xdr:row>16</xdr:row>
      <xdr:rowOff>45721</xdr:rowOff>
    </xdr:from>
    <xdr:to>
      <xdr:col>12</xdr:col>
      <xdr:colOff>426720</xdr:colOff>
      <xdr:row>29</xdr:row>
      <xdr:rowOff>83820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AE56E9E-6BE4-49F3-B809-F7F3A60A4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579120</xdr:colOff>
      <xdr:row>14</xdr:row>
      <xdr:rowOff>68580</xdr:rowOff>
    </xdr:from>
    <xdr:to>
      <xdr:col>4</xdr:col>
      <xdr:colOff>38100</xdr:colOff>
      <xdr:row>44</xdr:row>
      <xdr:rowOff>144780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1D050224-83B8-4A39-9244-86942DF8D388}"/>
            </a:ext>
          </a:extLst>
        </xdr:cNvPr>
        <xdr:cNvSpPr/>
      </xdr:nvSpPr>
      <xdr:spPr>
        <a:xfrm>
          <a:off x="579120" y="2628900"/>
          <a:ext cx="2628900" cy="55626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373380</xdr:colOff>
      <xdr:row>31</xdr:row>
      <xdr:rowOff>53340</xdr:rowOff>
    </xdr:from>
    <xdr:to>
      <xdr:col>9</xdr:col>
      <xdr:colOff>731520</xdr:colOff>
      <xdr:row>45</xdr:row>
      <xdr:rowOff>152400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A294C8F6-D256-46D9-9278-2786D422A2C8}"/>
            </a:ext>
          </a:extLst>
        </xdr:cNvPr>
        <xdr:cNvSpPr/>
      </xdr:nvSpPr>
      <xdr:spPr>
        <a:xfrm>
          <a:off x="3543300" y="5722620"/>
          <a:ext cx="4320540" cy="26593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Répartition</a:t>
          </a:r>
          <a:r>
            <a:rPr lang="fr-FR" sz="1100" b="1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du</a:t>
          </a:r>
          <a:r>
            <a:rPr lang="fr-FR" sz="11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fr-FR" sz="11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chiffre d'affaires par boutique </a:t>
          </a:r>
          <a:endParaRPr lang="fr-F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297180</xdr:colOff>
      <xdr:row>13</xdr:row>
      <xdr:rowOff>68580</xdr:rowOff>
    </xdr:from>
    <xdr:to>
      <xdr:col>16</xdr:col>
      <xdr:colOff>556260</xdr:colOff>
      <xdr:row>32</xdr:row>
      <xdr:rowOff>53340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070A2186-396E-448F-8C67-5A03CEF0803D}"/>
            </a:ext>
          </a:extLst>
        </xdr:cNvPr>
        <xdr:cNvSpPr/>
      </xdr:nvSpPr>
      <xdr:spPr>
        <a:xfrm>
          <a:off x="10599420" y="2446020"/>
          <a:ext cx="2636520" cy="34594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Top 5 produits par</a:t>
          </a:r>
          <a:r>
            <a:rPr lang="fr-FR" sz="11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CA</a:t>
          </a:r>
          <a:r>
            <a:rPr lang="fr-F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13</xdr:col>
      <xdr:colOff>457200</xdr:colOff>
      <xdr:row>15</xdr:row>
      <xdr:rowOff>121920</xdr:rowOff>
    </xdr:from>
    <xdr:to>
      <xdr:col>16</xdr:col>
      <xdr:colOff>381000</xdr:colOff>
      <xdr:row>32</xdr:row>
      <xdr:rowOff>30480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8B3D38E-0525-4D27-A542-61EAF3DE7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160020</xdr:colOff>
      <xdr:row>15</xdr:row>
      <xdr:rowOff>22861</xdr:rowOff>
    </xdr:from>
    <xdr:to>
      <xdr:col>3</xdr:col>
      <xdr:colOff>403860</xdr:colOff>
      <xdr:row>22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is">
              <a:extLst>
                <a:ext uri="{FF2B5EF4-FFF2-40B4-BE49-F238E27FC236}">
                  <a16:creationId xmlns:a16="http://schemas.microsoft.com/office/drawing/2014/main" id="{C9BB0E2D-2912-E66B-0702-04DEC4E7C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" y="2766061"/>
              <a:ext cx="1828800" cy="1257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160020</xdr:colOff>
      <xdr:row>22</xdr:row>
      <xdr:rowOff>99061</xdr:rowOff>
    </xdr:from>
    <xdr:to>
      <xdr:col>3</xdr:col>
      <xdr:colOff>403860</xdr:colOff>
      <xdr:row>29</xdr:row>
      <xdr:rowOff>45721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Boutique">
              <a:extLst>
                <a:ext uri="{FF2B5EF4-FFF2-40B4-BE49-F238E27FC236}">
                  <a16:creationId xmlns:a16="http://schemas.microsoft.com/office/drawing/2014/main" id="{3DD2D63A-D36E-4505-E04A-08E941843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outi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" y="4122421"/>
              <a:ext cx="1828800" cy="122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160020</xdr:colOff>
      <xdr:row>29</xdr:row>
      <xdr:rowOff>175260</xdr:rowOff>
    </xdr:from>
    <xdr:to>
      <xdr:col>3</xdr:col>
      <xdr:colOff>403860</xdr:colOff>
      <xdr:row>43</xdr:row>
      <xdr:rowOff>81915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it">
              <a:extLst>
                <a:ext uri="{FF2B5EF4-FFF2-40B4-BE49-F238E27FC236}">
                  <a16:creationId xmlns:a16="http://schemas.microsoft.com/office/drawing/2014/main" id="{2A142219-7AE5-54A6-1CF2-7284106F91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" y="54787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10</xdr:col>
      <xdr:colOff>76200</xdr:colOff>
      <xdr:row>33</xdr:row>
      <xdr:rowOff>7621</xdr:rowOff>
    </xdr:from>
    <xdr:to>
      <xdr:col>14</xdr:col>
      <xdr:colOff>243840</xdr:colOff>
      <xdr:row>44</xdr:row>
      <xdr:rowOff>91440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56BB9E54-DED3-4C93-9C23-7A019AC1A63E}"/>
            </a:ext>
          </a:extLst>
        </xdr:cNvPr>
        <xdr:cNvSpPr/>
      </xdr:nvSpPr>
      <xdr:spPr>
        <a:xfrm>
          <a:off x="8001000" y="6042661"/>
          <a:ext cx="3337560" cy="209549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358140</xdr:colOff>
      <xdr:row>33</xdr:row>
      <xdr:rowOff>167640</xdr:rowOff>
    </xdr:from>
    <xdr:to>
      <xdr:col>14</xdr:col>
      <xdr:colOff>106680</xdr:colOff>
      <xdr:row>44</xdr:row>
      <xdr:rowOff>99060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75A1B014-889D-4DF4-8F26-C66CCDC14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</xdr:colOff>
      <xdr:row>7</xdr:row>
      <xdr:rowOff>7620</xdr:rowOff>
    </xdr:from>
    <xdr:to>
      <xdr:col>6</xdr:col>
      <xdr:colOff>114300</xdr:colOff>
      <xdr:row>13</xdr:row>
      <xdr:rowOff>152400</xdr:rowOff>
    </xdr:to>
    <xdr:sp macro="" textlink="Calculs!B17">
      <xdr:nvSpPr>
        <xdr:cNvPr id="13" name="Rectangle : coins arrondis 12">
          <a:extLst>
            <a:ext uri="{FF2B5EF4-FFF2-40B4-BE49-F238E27FC236}">
              <a16:creationId xmlns:a16="http://schemas.microsoft.com/office/drawing/2014/main" id="{6266F875-DAB6-1B66-95FD-5F6574549777}"/>
            </a:ext>
          </a:extLst>
        </xdr:cNvPr>
        <xdr:cNvSpPr/>
      </xdr:nvSpPr>
      <xdr:spPr>
        <a:xfrm>
          <a:off x="3200400" y="1287780"/>
          <a:ext cx="1668780" cy="124206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600" b="1" i="0" u="none" strike="noStrike">
            <a:solidFill>
              <a:srgbClr val="000000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  <a:p>
          <a:pPr algn="ctr"/>
          <a:fld id="{DE894A39-B37B-4089-9164-3BE422FC7DD9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977 600 F CFA</a:t>
          </a:fld>
          <a:endParaRPr lang="en-US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220980</xdr:colOff>
      <xdr:row>6</xdr:row>
      <xdr:rowOff>137160</xdr:rowOff>
    </xdr:from>
    <xdr:to>
      <xdr:col>13</xdr:col>
      <xdr:colOff>304800</xdr:colOff>
      <xdr:row>13</xdr:row>
      <xdr:rowOff>99060</xdr:rowOff>
    </xdr:to>
    <xdr:sp macro="" textlink="Calculs!B19">
      <xdr:nvSpPr>
        <xdr:cNvPr id="19" name="Rectangle : coins arrondis 18">
          <a:extLst>
            <a:ext uri="{FF2B5EF4-FFF2-40B4-BE49-F238E27FC236}">
              <a16:creationId xmlns:a16="http://schemas.microsoft.com/office/drawing/2014/main" id="{B32FCD15-7E85-4C53-AEF2-15314F65479C}"/>
            </a:ext>
          </a:extLst>
        </xdr:cNvPr>
        <xdr:cNvSpPr/>
      </xdr:nvSpPr>
      <xdr:spPr>
        <a:xfrm>
          <a:off x="8938260" y="1234440"/>
          <a:ext cx="1668780" cy="124206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610394-645D-413D-A434-681854DCF30A}" type="TxLink">
            <a:rPr lang="en-US" sz="18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2 444 F CFA</a:t>
          </a:fld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556260</xdr:colOff>
      <xdr:row>6</xdr:row>
      <xdr:rowOff>175260</xdr:rowOff>
    </xdr:from>
    <xdr:to>
      <xdr:col>9</xdr:col>
      <xdr:colOff>640080</xdr:colOff>
      <xdr:row>13</xdr:row>
      <xdr:rowOff>137160</xdr:rowOff>
    </xdr:to>
    <xdr:sp macro="" textlink="Calculs!B18">
      <xdr:nvSpPr>
        <xdr:cNvPr id="20" name="Rectangle : coins arrondis 19">
          <a:extLst>
            <a:ext uri="{FF2B5EF4-FFF2-40B4-BE49-F238E27FC236}">
              <a16:creationId xmlns:a16="http://schemas.microsoft.com/office/drawing/2014/main" id="{9137F217-F9BD-4F5D-B7E9-8055D26D2BF8}"/>
            </a:ext>
          </a:extLst>
        </xdr:cNvPr>
        <xdr:cNvSpPr/>
      </xdr:nvSpPr>
      <xdr:spPr>
        <a:xfrm>
          <a:off x="6103620" y="1272540"/>
          <a:ext cx="1668780" cy="124206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9417DA9-EFFD-40D3-80F3-58FFDD0D30CC}" type="TxLink">
            <a:rPr lang="en-US" sz="2000" b="1" i="0" u="none" strike="noStrike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400</a:t>
          </a:fld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655320</xdr:colOff>
      <xdr:row>33</xdr:row>
      <xdr:rowOff>160020</xdr:rowOff>
    </xdr:from>
    <xdr:to>
      <xdr:col>9</xdr:col>
      <xdr:colOff>472440</xdr:colOff>
      <xdr:row>44</xdr:row>
      <xdr:rowOff>129540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99C8A303-07FF-4D62-B71E-90F2D81F7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</xdr:colOff>
      <xdr:row>7</xdr:row>
      <xdr:rowOff>175260</xdr:rowOff>
    </xdr:from>
    <xdr:to>
      <xdr:col>6</xdr:col>
      <xdr:colOff>106680</xdr:colOff>
      <xdr:row>9</xdr:row>
      <xdr:rowOff>38100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67DAF50-F407-CB65-07E3-88B2331DB2A1}"/>
            </a:ext>
          </a:extLst>
        </xdr:cNvPr>
        <xdr:cNvSpPr txBox="1"/>
      </xdr:nvSpPr>
      <xdr:spPr>
        <a:xfrm>
          <a:off x="3208020" y="1455420"/>
          <a:ext cx="165354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Chiffre d'affaires </a:t>
          </a:r>
        </a:p>
      </xdr:txBody>
    </xdr:sp>
    <xdr:clientData/>
  </xdr:twoCellAnchor>
  <xdr:twoCellAnchor>
    <xdr:from>
      <xdr:col>7</xdr:col>
      <xdr:colOff>563880</xdr:colOff>
      <xdr:row>8</xdr:row>
      <xdr:rowOff>0</xdr:rowOff>
    </xdr:from>
    <xdr:to>
      <xdr:col>9</xdr:col>
      <xdr:colOff>381000</xdr:colOff>
      <xdr:row>9</xdr:row>
      <xdr:rowOff>38100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DA7CC28-8D69-4ED9-CFC6-113131003B28}"/>
            </a:ext>
          </a:extLst>
        </xdr:cNvPr>
        <xdr:cNvSpPr txBox="1"/>
      </xdr:nvSpPr>
      <xdr:spPr>
        <a:xfrm>
          <a:off x="6111240" y="1463040"/>
          <a:ext cx="140208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latin typeface="Arial" panose="020B0604020202020204" pitchFamily="34" charset="0"/>
              <a:cs typeface="Arial" panose="020B0604020202020204" pitchFamily="34" charset="0"/>
            </a:rPr>
            <a:t>Nombre de ventes</a:t>
          </a:r>
        </a:p>
      </xdr:txBody>
    </xdr:sp>
    <xdr:clientData/>
  </xdr:twoCellAnchor>
  <xdr:twoCellAnchor>
    <xdr:from>
      <xdr:col>11</xdr:col>
      <xdr:colOff>381000</xdr:colOff>
      <xdr:row>7</xdr:row>
      <xdr:rowOff>83820</xdr:rowOff>
    </xdr:from>
    <xdr:to>
      <xdr:col>13</xdr:col>
      <xdr:colOff>137160</xdr:colOff>
      <xdr:row>8</xdr:row>
      <xdr:rowOff>99060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4FAC77ED-9233-D927-473A-D4B35F26A8E0}"/>
            </a:ext>
          </a:extLst>
        </xdr:cNvPr>
        <xdr:cNvSpPr txBox="1"/>
      </xdr:nvSpPr>
      <xdr:spPr>
        <a:xfrm>
          <a:off x="9098280" y="1363980"/>
          <a:ext cx="134112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latin typeface="Arial" panose="020B0604020202020204" pitchFamily="34" charset="0"/>
              <a:cs typeface="Arial" panose="020B0604020202020204" pitchFamily="34" charset="0"/>
            </a:rPr>
            <a:t>Panier Moyen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B" refreshedDate="46316.470416087963" createdVersion="8" refreshedVersion="8" minRefreshableVersion="3" recordCount="400" xr:uid="{7A2E1916-2686-43E8-996F-8597B764BE66}">
  <cacheSource type="worksheet">
    <worksheetSource ref="A1:L401" sheet="Ventes"/>
  </cacheSource>
  <cacheFields count="12">
    <cacheField name="ID_Vente" numFmtId="0">
      <sharedItems/>
    </cacheField>
    <cacheField name="Date" numFmtId="14">
      <sharedItems containsSemiMixedTypes="0" containsNonDate="0" containsDate="1" containsString="0" minDate="2026-01-02T00:00:00" maxDate="2026-07-01T00:00:00"/>
    </cacheField>
    <cacheField name="Boutique" numFmtId="0">
      <sharedItems count="3">
        <s v="Bè"/>
        <s v="Tokoin"/>
        <s v="Agoè"/>
      </sharedItems>
    </cacheField>
    <cacheField name="Vendeur" numFmtId="0">
      <sharedItems/>
    </cacheField>
    <cacheField name="Produit" numFmtId="0">
      <sharedItems/>
    </cacheField>
    <cacheField name="Catégorie" numFmtId="0">
      <sharedItems/>
    </cacheField>
    <cacheField name="Quantité" numFmtId="0">
      <sharedItems containsSemiMixedTypes="0" containsString="0" containsNumber="1" containsInteger="1" minValue="1" maxValue="10"/>
    </cacheField>
    <cacheField name="Prix_Unitaire_FCFA" numFmtId="3">
      <sharedItems containsSemiMixedTypes="0" containsString="0" containsNumber="1" containsInteger="1" minValue="250" maxValue="3500"/>
    </cacheField>
    <cacheField name="Montant_Total_FCFA" numFmtId="3">
      <sharedItems containsSemiMixedTypes="0" containsString="0" containsNumber="1" containsInteger="1" minValue="250" maxValue="10500"/>
    </cacheField>
    <cacheField name="Mode_Paiement" numFmtId="0">
      <sharedItems/>
    </cacheField>
    <cacheField name="Mois" numFmtId="0">
      <sharedItems/>
    </cacheField>
    <cacheField name="Gros panie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B" refreshedDate="46318.373371527778" createdVersion="8" refreshedVersion="8" minRefreshableVersion="3" recordCount="400" xr:uid="{A9D96474-A92D-4452-9697-4258AD2C07DF}">
  <cacheSource type="worksheet">
    <worksheetSource name="Tableau3"/>
  </cacheSource>
  <cacheFields count="12">
    <cacheField name="ID_Vente" numFmtId="0">
      <sharedItems/>
    </cacheField>
    <cacheField name="Date" numFmtId="14">
      <sharedItems containsSemiMixedTypes="0" containsNonDate="0" containsDate="1" containsString="0" minDate="2026-01-02T00:00:00" maxDate="2026-07-01T00:00:00"/>
    </cacheField>
    <cacheField name="Boutique" numFmtId="0">
      <sharedItems count="3">
        <s v="Bè"/>
        <s v="Tokoin"/>
        <s v="Agoè"/>
      </sharedItems>
    </cacheField>
    <cacheField name="Vendeur" numFmtId="0">
      <sharedItems/>
    </cacheField>
    <cacheField name="Produit" numFmtId="0">
      <sharedItems count="15">
        <s v="Riz 5 kg"/>
        <s v="Jus de fruit 1 L"/>
        <s v="Lessive 500 g"/>
        <s v="Sucre 1 kg"/>
        <s v="Lait en poudre 400 g"/>
        <s v="Dentifrice"/>
        <s v="Bougies (lot de 6)"/>
        <s v="Eau minérale 1,5 L"/>
        <s v="Pâtes spaghetti 500 g"/>
        <s v="Huile végétale 1 L"/>
        <s v="Tomate concentrée"/>
        <s v="Piles AA (lot de 4)"/>
        <s v="Savon de toilette"/>
        <s v="Biscuits"/>
        <s v="Boisson gazeuse 50 cl"/>
      </sharedItems>
    </cacheField>
    <cacheField name="Catégorie" numFmtId="0">
      <sharedItems count="4">
        <s v="Alimentaire"/>
        <s v="Boissons"/>
        <s v="Hygiène"/>
        <s v="Épicerie"/>
      </sharedItems>
    </cacheField>
    <cacheField name="Quantité" numFmtId="0">
      <sharedItems containsSemiMixedTypes="0" containsString="0" containsNumber="1" containsInteger="1" minValue="1" maxValue="10"/>
    </cacheField>
    <cacheField name="Prix_Unitaire_FCFA" numFmtId="3">
      <sharedItems containsSemiMixedTypes="0" containsString="0" containsNumber="1" containsInteger="1" minValue="250" maxValue="3500"/>
    </cacheField>
    <cacheField name="Montant_Total_FCFA" numFmtId="3">
      <sharedItems containsSemiMixedTypes="0" containsString="0" containsNumber="1" containsInteger="1" minValue="250" maxValue="10500" count="41">
        <n v="10500"/>
        <n v="10000"/>
        <n v="9000"/>
        <n v="8000"/>
        <n v="7500"/>
        <n v="7000"/>
        <n v="6000"/>
        <n v="5400"/>
        <n v="5000"/>
        <n v="4800"/>
        <n v="4500"/>
        <n v="4200"/>
        <n v="4000"/>
        <n v="3600"/>
        <n v="3500"/>
        <n v="3200"/>
        <n v="3000"/>
        <n v="2800"/>
        <n v="2700"/>
        <n v="2500"/>
        <n v="2400"/>
        <n v="2250"/>
        <n v="2100"/>
        <n v="2000"/>
        <n v="1800"/>
        <n v="1600"/>
        <n v="1500"/>
        <n v="1400"/>
        <n v="1250"/>
        <n v="1200"/>
        <n v="1000"/>
        <n v="900"/>
        <n v="800"/>
        <n v="750"/>
        <n v="700"/>
        <n v="600"/>
        <n v="500"/>
        <n v="450"/>
        <n v="400"/>
        <n v="300"/>
        <n v="250"/>
      </sharedItems>
    </cacheField>
    <cacheField name="Mode_Paiement" numFmtId="0">
      <sharedItems/>
    </cacheField>
    <cacheField name="Mois" numFmtId="0">
      <sharedItems/>
    </cacheField>
    <cacheField name="Gros panie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B" refreshedDate="46321.350192013888" createdVersion="8" refreshedVersion="8" minRefreshableVersion="3" recordCount="400" xr:uid="{BB2E26A6-4E51-4316-A29F-8CE2B25269AD}">
  <cacheSource type="worksheet">
    <worksheetSource ref="A1:K401" sheet="Ventes"/>
  </cacheSource>
  <cacheFields count="13">
    <cacheField name="ID_Vente" numFmtId="0">
      <sharedItems/>
    </cacheField>
    <cacheField name="Date" numFmtId="14">
      <sharedItems containsSemiMixedTypes="0" containsNonDate="0" containsDate="1" containsString="0" minDate="2026-01-02T00:00:00" maxDate="2026-07-01T00:00:00" count="156">
        <d v="2026-01-20T00:00:00"/>
        <d v="2026-04-03T00:00:00"/>
        <d v="2026-04-22T00:00:00"/>
        <d v="2026-05-20T00:00:00"/>
        <d v="2026-01-13T00:00:00"/>
        <d v="2026-01-24T00:00:00"/>
        <d v="2026-04-04T00:00:00"/>
        <d v="2026-04-08T00:00:00"/>
        <d v="2026-06-19T00:00:00"/>
        <d v="2026-05-24T00:00:00"/>
        <d v="2026-01-08T00:00:00"/>
        <d v="2026-03-27T00:00:00"/>
        <d v="2026-03-28T00:00:00"/>
        <d v="2026-04-14T00:00:00"/>
        <d v="2026-06-17T00:00:00"/>
        <d v="2026-04-19T00:00:00"/>
        <d v="2026-05-05T00:00:00"/>
        <d v="2026-05-18T00:00:00"/>
        <d v="2026-06-22T00:00:00"/>
        <d v="2026-01-12T00:00:00"/>
        <d v="2026-02-06T00:00:00"/>
        <d v="2026-02-26T00:00:00"/>
        <d v="2026-04-05T00:00:00"/>
        <d v="2026-04-10T00:00:00"/>
        <d v="2026-05-01T00:00:00"/>
        <d v="2026-05-30T00:00:00"/>
        <d v="2026-06-21T00:00:00"/>
        <d v="2026-06-29T00:00:00"/>
        <d v="2026-02-07T00:00:00"/>
        <d v="2026-03-20T00:00:00"/>
        <d v="2026-05-12T00:00:00"/>
        <d v="2026-05-22T00:00:00"/>
        <d v="2026-06-25T00:00:00"/>
        <d v="2026-06-04T00:00:00"/>
        <d v="2026-01-11T00:00:00"/>
        <d v="2026-02-01T00:00:00"/>
        <d v="2026-02-02T00:00:00"/>
        <d v="2026-02-10T00:00:00"/>
        <d v="2026-02-12T00:00:00"/>
        <d v="2026-02-17T00:00:00"/>
        <d v="2026-03-22T00:00:00"/>
        <d v="2026-04-24T00:00:00"/>
        <d v="2026-05-15T00:00:00"/>
        <d v="2026-05-29T00:00:00"/>
        <d v="2026-06-03T00:00:00"/>
        <d v="2026-06-15T00:00:00"/>
        <d v="2026-06-30T00:00:00"/>
        <d v="2026-04-17T00:00:00"/>
        <d v="2026-04-26T00:00:00"/>
        <d v="2026-03-08T00:00:00"/>
        <d v="2026-04-16T00:00:00"/>
        <d v="2026-04-27T00:00:00"/>
        <d v="2026-05-19T00:00:00"/>
        <d v="2026-05-26T00:00:00"/>
        <d v="2026-06-14T00:00:00"/>
        <d v="2026-06-27T00:00:00"/>
        <d v="2026-01-29T00:00:00"/>
        <d v="2026-01-30T00:00:00"/>
        <d v="2026-02-05T00:00:00"/>
        <d v="2026-03-13T00:00:00"/>
        <d v="2026-06-06T00:00:00"/>
        <d v="2026-01-27T00:00:00"/>
        <d v="2026-05-02T00:00:00"/>
        <d v="2026-05-28T00:00:00"/>
        <d v="2026-06-09T00:00:00"/>
        <d v="2026-06-20T00:00:00"/>
        <d v="2026-06-23T00:00:00"/>
        <d v="2026-02-18T00:00:00"/>
        <d v="2026-02-24T00:00:00"/>
        <d v="2026-03-09T00:00:00"/>
        <d v="2026-04-25T00:00:00"/>
        <d v="2026-05-08T00:00:00"/>
        <d v="2026-06-05T00:00:00"/>
        <d v="2026-01-05T00:00:00"/>
        <d v="2026-01-22T00:00:00"/>
        <d v="2026-01-28T00:00:00"/>
        <d v="2026-02-04T00:00:00"/>
        <d v="2026-02-27T00:00:00"/>
        <d v="2026-03-03T00:00:00"/>
        <d v="2026-03-05T00:00:00"/>
        <d v="2026-04-12T00:00:00"/>
        <d v="2026-05-11T00:00:00"/>
        <d v="2026-05-16T00:00:00"/>
        <d v="2026-05-17T00:00:00"/>
        <d v="2026-01-04T00:00:00"/>
        <d v="2026-02-08T00:00:00"/>
        <d v="2026-02-09T00:00:00"/>
        <d v="2026-02-19T00:00:00"/>
        <d v="2026-03-19T00:00:00"/>
        <d v="2026-04-07T00:00:00"/>
        <d v="2026-04-30T00:00:00"/>
        <d v="2026-03-18T00:00:00"/>
        <d v="2026-04-29T00:00:00"/>
        <d v="2026-01-15T00:00:00"/>
        <d v="2026-04-06T00:00:00"/>
        <d v="2026-01-23T00:00:00"/>
        <d v="2026-02-16T00:00:00"/>
        <d v="2026-04-23T00:00:00"/>
        <d v="2026-06-10T00:00:00"/>
        <d v="2026-06-18T00:00:00"/>
        <d v="2026-03-02T00:00:00"/>
        <d v="2026-03-11T00:00:00"/>
        <d v="2026-04-15T00:00:00"/>
        <d v="2026-05-04T00:00:00"/>
        <d v="2026-06-01T00:00:00"/>
        <d v="2026-01-17T00:00:00"/>
        <d v="2026-02-03T00:00:00"/>
        <d v="2026-01-26T00:00:00"/>
        <d v="2026-06-13T00:00:00"/>
        <d v="2026-01-19T00:00:00"/>
        <d v="2026-01-31T00:00:00"/>
        <d v="2026-03-01T00:00:00"/>
        <d v="2026-03-29T00:00:00"/>
        <d v="2026-04-18T00:00:00"/>
        <d v="2026-06-08T00:00:00"/>
        <d v="2026-01-03T00:00:00"/>
        <d v="2026-03-12T00:00:00"/>
        <d v="2026-05-25T00:00:00"/>
        <d v="2026-05-31T00:00:00"/>
        <d v="2026-06-28T00:00:00"/>
        <d v="2026-02-13T00:00:00"/>
        <d v="2026-05-09T00:00:00"/>
        <d v="2026-05-23T00:00:00"/>
        <d v="2026-06-12T00:00:00"/>
        <d v="2026-01-14T00:00:00"/>
        <d v="2026-03-14T00:00:00"/>
        <d v="2026-04-20T00:00:00"/>
        <d v="2026-05-21T00:00:00"/>
        <d v="2026-06-11T00:00:00"/>
        <d v="2026-06-16T00:00:00"/>
        <d v="2026-06-24T00:00:00"/>
        <d v="2026-06-26T00:00:00"/>
        <d v="2026-01-21T00:00:00"/>
        <d v="2026-02-14T00:00:00"/>
        <d v="2026-02-21T00:00:00"/>
        <d v="2026-03-06T00:00:00"/>
        <d v="2026-03-24T00:00:00"/>
        <d v="2026-04-28T00:00:00"/>
        <d v="2026-06-02T00:00:00"/>
        <d v="2026-06-07T00:00:00"/>
        <d v="2026-01-02T00:00:00"/>
        <d v="2026-03-04T00:00:00"/>
        <d v="2026-01-18T00:00:00"/>
        <d v="2026-03-15T00:00:00"/>
        <d v="2026-05-13T00:00:00"/>
        <d v="2026-05-06T00:00:00"/>
        <d v="2026-05-10T00:00:00"/>
        <d v="2026-03-30T00:00:00"/>
        <d v="2026-05-03T00:00:00"/>
        <d v="2026-05-27T00:00:00"/>
        <d v="2026-01-06T00:00:00"/>
        <d v="2026-03-17T00:00:00"/>
        <d v="2026-04-01T00:00:00"/>
        <d v="2026-04-02T00:00:00"/>
        <d v="2026-02-23T00:00:00"/>
        <d v="2026-02-25T00:00:00"/>
      </sharedItems>
      <fieldGroup par="12"/>
    </cacheField>
    <cacheField name="Boutique" numFmtId="0">
      <sharedItems count="3">
        <s v="Bè"/>
        <s v="Tokoin"/>
        <s v="Agoè"/>
      </sharedItems>
    </cacheField>
    <cacheField name="Vendeur" numFmtId="0">
      <sharedItems count="6">
        <s v="Yawo"/>
        <s v="Ama"/>
        <s v="Afi"/>
        <s v="Essi"/>
        <s v="Komla"/>
        <s v="Kofi"/>
      </sharedItems>
    </cacheField>
    <cacheField name="Produit" numFmtId="0">
      <sharedItems count="15">
        <s v="Riz 5 kg"/>
        <s v="Jus de fruit 1 L"/>
        <s v="Lessive 500 g"/>
        <s v="Sucre 1 kg"/>
        <s v="Lait en poudre 400 g"/>
        <s v="Dentifrice"/>
        <s v="Bougies (lot de 6)"/>
        <s v="Eau minérale 1,5 L"/>
        <s v="Pâtes spaghetti 500 g"/>
        <s v="Huile végétale 1 L"/>
        <s v="Tomate concentrée"/>
        <s v="Piles AA (lot de 4)"/>
        <s v="Savon de toilette"/>
        <s v="Biscuits"/>
        <s v="Boisson gazeuse 50 cl"/>
      </sharedItems>
    </cacheField>
    <cacheField name="Catégorie" numFmtId="0">
      <sharedItems/>
    </cacheField>
    <cacheField name="Quantité" numFmtId="0">
      <sharedItems containsSemiMixedTypes="0" containsString="0" containsNumber="1" containsInteger="1" minValue="1" maxValue="10"/>
    </cacheField>
    <cacheField name="Prix_Unitaire_FCFA" numFmtId="3">
      <sharedItems containsSemiMixedTypes="0" containsString="0" containsNumber="1" containsInteger="1" minValue="250" maxValue="3500" count="14">
        <n v="3500"/>
        <n v="1000"/>
        <n v="900"/>
        <n v="800"/>
        <n v="2500"/>
        <n v="700"/>
        <n v="600"/>
        <n v="500"/>
        <n v="450"/>
        <n v="1500"/>
        <n v="400"/>
        <n v="1200"/>
        <n v="300"/>
        <n v="250"/>
      </sharedItems>
    </cacheField>
    <cacheField name="Montant_Total_FCFA" numFmtId="3">
      <sharedItems containsSemiMixedTypes="0" containsString="0" containsNumber="1" containsInteger="1" minValue="250" maxValue="10500"/>
    </cacheField>
    <cacheField name="Mode_Paiement" numFmtId="0">
      <sharedItems count="3">
        <s v="Flooz"/>
        <s v="Espèces"/>
        <s v="T-Money"/>
      </sharedItems>
    </cacheField>
    <cacheField name="Mois" numFmtId="0">
      <sharedItems count="6">
        <s v="janvier"/>
        <s v="avril"/>
        <s v="mai"/>
        <s v="juin"/>
        <s v="mars"/>
        <s v="février"/>
      </sharedItems>
    </cacheField>
    <cacheField name="Jours (Date)" numFmtId="0" databaseField="0">
      <fieldGroup base="1">
        <rangePr groupBy="days" startDate="2026-01-02T00:00:00" endDate="2026-07-01T00:00:00"/>
        <groupItems count="368">
          <s v="&lt;02/01/2026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7/2026"/>
        </groupItems>
      </fieldGroup>
    </cacheField>
    <cacheField name="Mois (Date)" numFmtId="0" databaseField="0">
      <fieldGroup base="1">
        <rangePr groupBy="months" startDate="2026-01-02T00:00:00" endDate="2026-07-01T00:00:00"/>
        <groupItems count="14">
          <s v="&lt;02/01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 pivotCacheId="1688675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0030"/>
    <d v="2026-01-20T00:00:00"/>
    <x v="0"/>
    <s v="Yawo"/>
    <s v="Riz 5 kg"/>
    <s v="Alimentaire"/>
    <n v="3"/>
    <n v="3500"/>
    <n v="10500"/>
    <s v="Flooz"/>
    <s v="janvier"/>
    <s v="Oui"/>
  </r>
  <r>
    <s v="V0181"/>
    <d v="2026-04-03T00:00:00"/>
    <x v="1"/>
    <s v="Ama"/>
    <s v="Riz 5 kg"/>
    <s v="Alimentaire"/>
    <n v="3"/>
    <n v="3500"/>
    <n v="10500"/>
    <s v="Espèces"/>
    <s v="avril"/>
    <s v="Oui"/>
  </r>
  <r>
    <s v="V0222"/>
    <d v="2026-04-22T00:00:00"/>
    <x v="1"/>
    <s v="Ama"/>
    <s v="Riz 5 kg"/>
    <s v="Alimentaire"/>
    <n v="3"/>
    <n v="3500"/>
    <n v="10500"/>
    <s v="Flooz"/>
    <s v="avril"/>
    <s v="Oui"/>
  </r>
  <r>
    <s v="V0287"/>
    <d v="2026-05-20T00:00:00"/>
    <x v="0"/>
    <s v="Afi"/>
    <s v="Riz 5 kg"/>
    <s v="Alimentaire"/>
    <n v="3"/>
    <n v="3500"/>
    <n v="10500"/>
    <s v="Espèces"/>
    <s v="mai"/>
    <s v="Oui"/>
  </r>
  <r>
    <s v="V0019"/>
    <d v="2026-01-13T00:00:00"/>
    <x v="1"/>
    <s v="Ama"/>
    <s v="Jus de fruit 1 L"/>
    <s v="Boissons"/>
    <n v="10"/>
    <n v="1000"/>
    <n v="10000"/>
    <s v="Flooz"/>
    <s v="janvier"/>
    <s v="Oui"/>
  </r>
  <r>
    <s v="V0044"/>
    <d v="2026-01-24T00:00:00"/>
    <x v="2"/>
    <s v="Essi"/>
    <s v="Jus de fruit 1 L"/>
    <s v="Boissons"/>
    <n v="10"/>
    <n v="1000"/>
    <n v="10000"/>
    <s v="Espèces"/>
    <s v="janvier"/>
    <s v="Oui"/>
  </r>
  <r>
    <s v="V0186"/>
    <d v="2026-04-04T00:00:00"/>
    <x v="2"/>
    <s v="Komla"/>
    <s v="Jus de fruit 1 L"/>
    <s v="Boissons"/>
    <n v="10"/>
    <n v="1000"/>
    <n v="10000"/>
    <s v="Espèces"/>
    <s v="avril"/>
    <s v="Oui"/>
  </r>
  <r>
    <s v="V0194"/>
    <d v="2026-04-08T00:00:00"/>
    <x v="2"/>
    <s v="Komla"/>
    <s v="Jus de fruit 1 L"/>
    <s v="Boissons"/>
    <n v="10"/>
    <n v="1000"/>
    <n v="10000"/>
    <s v="Espèces"/>
    <s v="avril"/>
    <s v="Oui"/>
  </r>
  <r>
    <s v="V0372"/>
    <d v="2026-06-19T00:00:00"/>
    <x v="0"/>
    <s v="Afi"/>
    <s v="Jus de fruit 1 L"/>
    <s v="Boissons"/>
    <n v="10"/>
    <n v="1000"/>
    <n v="10000"/>
    <s v="T-Money"/>
    <s v="juin"/>
    <s v="Oui"/>
  </r>
  <r>
    <s v="V0298"/>
    <d v="2026-05-24T00:00:00"/>
    <x v="2"/>
    <s v="Essi"/>
    <s v="Lessive 500 g"/>
    <s v="Hygiène"/>
    <n v="10"/>
    <n v="900"/>
    <n v="9000"/>
    <s v="Espèces"/>
    <s v="mai"/>
    <s v="Oui"/>
  </r>
  <r>
    <s v="V0009"/>
    <d v="2026-01-08T00:00:00"/>
    <x v="1"/>
    <s v="Ama"/>
    <s v="Sucre 1 kg"/>
    <s v="Alimentaire"/>
    <n v="10"/>
    <n v="800"/>
    <n v="8000"/>
    <s v="Flooz"/>
    <s v="janvier"/>
    <s v="Oui"/>
  </r>
  <r>
    <s v="V0170"/>
    <d v="2026-03-27T00:00:00"/>
    <x v="0"/>
    <s v="Afi"/>
    <s v="Sucre 1 kg"/>
    <s v="Alimentaire"/>
    <n v="10"/>
    <n v="800"/>
    <n v="8000"/>
    <s v="Flooz"/>
    <s v="mars"/>
    <s v="Oui"/>
  </r>
  <r>
    <s v="V0174"/>
    <d v="2026-03-28T00:00:00"/>
    <x v="0"/>
    <s v="Yawo"/>
    <s v="Sucre 1 kg"/>
    <s v="Alimentaire"/>
    <n v="10"/>
    <n v="800"/>
    <n v="8000"/>
    <s v="Flooz"/>
    <s v="mars"/>
    <s v="Oui"/>
  </r>
  <r>
    <s v="V0206"/>
    <d v="2026-04-14T00:00:00"/>
    <x v="1"/>
    <s v="Ama"/>
    <s v="Sucre 1 kg"/>
    <s v="Alimentaire"/>
    <n v="10"/>
    <n v="800"/>
    <n v="8000"/>
    <s v="Espèces"/>
    <s v="avril"/>
    <s v="Oui"/>
  </r>
  <r>
    <s v="V0365"/>
    <d v="2026-06-17T00:00:00"/>
    <x v="2"/>
    <s v="Essi"/>
    <s v="Sucre 1 kg"/>
    <s v="Alimentaire"/>
    <n v="10"/>
    <n v="800"/>
    <n v="8000"/>
    <s v="T-Money"/>
    <s v="juin"/>
    <s v="Oui"/>
  </r>
  <r>
    <s v="V0219"/>
    <d v="2026-04-19T00:00:00"/>
    <x v="2"/>
    <s v="Essi"/>
    <s v="Lait en poudre 400 g"/>
    <s v="Alimentaire"/>
    <n v="3"/>
    <n v="2500"/>
    <n v="7500"/>
    <s v="Espèces"/>
    <s v="avril"/>
    <s v="Oui"/>
  </r>
  <r>
    <s v="V0259"/>
    <d v="2026-05-05T00:00:00"/>
    <x v="1"/>
    <s v="Ama"/>
    <s v="Lait en poudre 400 g"/>
    <s v="Alimentaire"/>
    <n v="3"/>
    <n v="2500"/>
    <n v="7500"/>
    <s v="T-Money"/>
    <s v="mai"/>
    <s v="Oui"/>
  </r>
  <r>
    <s v="V0281"/>
    <d v="2026-05-18T00:00:00"/>
    <x v="1"/>
    <s v="Ama"/>
    <s v="Lait en poudre 400 g"/>
    <s v="Alimentaire"/>
    <n v="3"/>
    <n v="2500"/>
    <n v="7500"/>
    <s v="T-Money"/>
    <s v="mai"/>
    <s v="Oui"/>
  </r>
  <r>
    <s v="V0377"/>
    <d v="2026-06-22T00:00:00"/>
    <x v="2"/>
    <s v="Essi"/>
    <s v="Lait en poudre 400 g"/>
    <s v="Alimentaire"/>
    <n v="3"/>
    <n v="2500"/>
    <n v="7500"/>
    <s v="T-Money"/>
    <s v="juin"/>
    <s v="Oui"/>
  </r>
  <r>
    <s v="V0012"/>
    <d v="2026-01-08T00:00:00"/>
    <x v="1"/>
    <s v="Kofi"/>
    <s v="Dentifrice"/>
    <s v="Hygiène"/>
    <n v="10"/>
    <n v="700"/>
    <n v="7000"/>
    <s v="Espèces"/>
    <s v="janvier"/>
    <s v="Oui"/>
  </r>
  <r>
    <s v="V0017"/>
    <d v="2026-01-12T00:00:00"/>
    <x v="2"/>
    <s v="Essi"/>
    <s v="Riz 5 kg"/>
    <s v="Alimentaire"/>
    <n v="2"/>
    <n v="3500"/>
    <n v="7000"/>
    <s v="Flooz"/>
    <s v="janvier"/>
    <s v="Oui"/>
  </r>
  <r>
    <s v="V0079"/>
    <d v="2026-02-06T00:00:00"/>
    <x v="0"/>
    <s v="Afi"/>
    <s v="Riz 5 kg"/>
    <s v="Alimentaire"/>
    <n v="2"/>
    <n v="3500"/>
    <n v="7000"/>
    <s v="Espèces"/>
    <s v="février"/>
    <s v="Oui"/>
  </r>
  <r>
    <s v="V0119"/>
    <d v="2026-02-26T00:00:00"/>
    <x v="1"/>
    <s v="Ama"/>
    <s v="Riz 5 kg"/>
    <s v="Alimentaire"/>
    <n v="2"/>
    <n v="3500"/>
    <n v="7000"/>
    <s v="Espèces"/>
    <s v="février"/>
    <s v="Oui"/>
  </r>
  <r>
    <s v="V0188"/>
    <d v="2026-04-05T00:00:00"/>
    <x v="1"/>
    <s v="Ama"/>
    <s v="Riz 5 kg"/>
    <s v="Alimentaire"/>
    <n v="2"/>
    <n v="3500"/>
    <n v="7000"/>
    <s v="T-Money"/>
    <s v="avril"/>
    <s v="Oui"/>
  </r>
  <r>
    <s v="V0198"/>
    <d v="2026-04-10T00:00:00"/>
    <x v="0"/>
    <s v="Afi"/>
    <s v="Dentifrice"/>
    <s v="Hygiène"/>
    <n v="10"/>
    <n v="700"/>
    <n v="7000"/>
    <s v="Espèces"/>
    <s v="avril"/>
    <s v="Oui"/>
  </r>
  <r>
    <s v="V0253"/>
    <d v="2026-05-01T00:00:00"/>
    <x v="1"/>
    <s v="Kofi"/>
    <s v="Riz 5 kg"/>
    <s v="Alimentaire"/>
    <n v="2"/>
    <n v="3500"/>
    <n v="7000"/>
    <s v="Flooz"/>
    <s v="mai"/>
    <s v="Oui"/>
  </r>
  <r>
    <s v="V0315"/>
    <d v="2026-05-30T00:00:00"/>
    <x v="0"/>
    <s v="Yawo"/>
    <s v="Riz 5 kg"/>
    <s v="Alimentaire"/>
    <n v="2"/>
    <n v="3500"/>
    <n v="7000"/>
    <s v="Espèces"/>
    <s v="mai"/>
    <s v="Oui"/>
  </r>
  <r>
    <s v="V0375"/>
    <d v="2026-06-21T00:00:00"/>
    <x v="0"/>
    <s v="Afi"/>
    <s v="Riz 5 kg"/>
    <s v="Alimentaire"/>
    <n v="2"/>
    <n v="3500"/>
    <n v="7000"/>
    <s v="Flooz"/>
    <s v="juin"/>
    <s v="Oui"/>
  </r>
  <r>
    <s v="V0398"/>
    <d v="2026-06-29T00:00:00"/>
    <x v="1"/>
    <s v="Kofi"/>
    <s v="Riz 5 kg"/>
    <s v="Alimentaire"/>
    <n v="2"/>
    <n v="3500"/>
    <n v="7000"/>
    <s v="Espèces"/>
    <s v="juin"/>
    <s v="Oui"/>
  </r>
  <r>
    <s v="V0082"/>
    <d v="2026-02-07T00:00:00"/>
    <x v="0"/>
    <s v="Yawo"/>
    <s v="Bougies (lot de 6)"/>
    <s v="Épicerie"/>
    <n v="10"/>
    <n v="600"/>
    <n v="6000"/>
    <s v="Espèces"/>
    <s v="février"/>
    <s v="Oui"/>
  </r>
  <r>
    <s v="V0159"/>
    <d v="2026-03-20T00:00:00"/>
    <x v="2"/>
    <s v="Essi"/>
    <s v="Jus de fruit 1 L"/>
    <s v="Boissons"/>
    <n v="6"/>
    <n v="1000"/>
    <n v="6000"/>
    <s v="Espèces"/>
    <s v="mars"/>
    <s v="Oui"/>
  </r>
  <r>
    <s v="V0187"/>
    <d v="2026-04-05T00:00:00"/>
    <x v="0"/>
    <s v="Yawo"/>
    <s v="Jus de fruit 1 L"/>
    <s v="Boissons"/>
    <n v="6"/>
    <n v="1000"/>
    <n v="6000"/>
    <s v="T-Money"/>
    <s v="avril"/>
    <s v="Oui"/>
  </r>
  <r>
    <s v="V0270"/>
    <d v="2026-05-12T00:00:00"/>
    <x v="2"/>
    <s v="Komla"/>
    <s v="Jus de fruit 1 L"/>
    <s v="Boissons"/>
    <n v="6"/>
    <n v="1000"/>
    <n v="6000"/>
    <s v="Espèces"/>
    <s v="mai"/>
    <s v="Oui"/>
  </r>
  <r>
    <s v="V0295"/>
    <d v="2026-05-22T00:00:00"/>
    <x v="2"/>
    <s v="Essi"/>
    <s v="Jus de fruit 1 L"/>
    <s v="Boissons"/>
    <n v="6"/>
    <n v="1000"/>
    <n v="6000"/>
    <s v="Espèces"/>
    <s v="mai"/>
    <s v="Oui"/>
  </r>
  <r>
    <s v="V0385"/>
    <d v="2026-06-25T00:00:00"/>
    <x v="2"/>
    <s v="Komla"/>
    <s v="Bougies (lot de 6)"/>
    <s v="Épicerie"/>
    <n v="10"/>
    <n v="600"/>
    <n v="6000"/>
    <s v="T-Money"/>
    <s v="juin"/>
    <s v="Oui"/>
  </r>
  <r>
    <s v="V0326"/>
    <d v="2026-06-04T00:00:00"/>
    <x v="1"/>
    <s v="Kofi"/>
    <s v="Lessive 500 g"/>
    <s v="Hygiène"/>
    <n v="6"/>
    <n v="900"/>
    <n v="5400"/>
    <s v="Espèces"/>
    <s v="juin"/>
    <s v="Oui"/>
  </r>
  <r>
    <s v="V0015"/>
    <d v="2026-01-11T00:00:00"/>
    <x v="0"/>
    <s v="Yawo"/>
    <s v="Lait en poudre 400 g"/>
    <s v="Alimentaire"/>
    <n v="2"/>
    <n v="2500"/>
    <n v="5000"/>
    <s v="Espèces"/>
    <s v="janvier"/>
    <s v="Non"/>
  </r>
  <r>
    <s v="V0065"/>
    <d v="2026-02-01T00:00:00"/>
    <x v="1"/>
    <s v="Kofi"/>
    <s v="Eau minérale 1,5 L"/>
    <s v="Boissons"/>
    <n v="10"/>
    <n v="500"/>
    <n v="5000"/>
    <s v="Espèces"/>
    <s v="février"/>
    <s v="Non"/>
  </r>
  <r>
    <s v="V0069"/>
    <d v="2026-02-02T00:00:00"/>
    <x v="0"/>
    <s v="Afi"/>
    <s v="Eau minérale 1,5 L"/>
    <s v="Boissons"/>
    <n v="10"/>
    <n v="500"/>
    <n v="5000"/>
    <s v="Espèces"/>
    <s v="février"/>
    <s v="Non"/>
  </r>
  <r>
    <s v="V0090"/>
    <d v="2026-02-10T00:00:00"/>
    <x v="0"/>
    <s v="Afi"/>
    <s v="Jus de fruit 1 L"/>
    <s v="Boissons"/>
    <n v="5"/>
    <n v="1000"/>
    <n v="5000"/>
    <s v="Espèces"/>
    <s v="février"/>
    <s v="Non"/>
  </r>
  <r>
    <s v="V0095"/>
    <d v="2026-02-12T00:00:00"/>
    <x v="2"/>
    <s v="Essi"/>
    <s v="Lait en poudre 400 g"/>
    <s v="Alimentaire"/>
    <n v="2"/>
    <n v="2500"/>
    <n v="5000"/>
    <s v="Espèces"/>
    <s v="février"/>
    <s v="Non"/>
  </r>
  <r>
    <s v="V0106"/>
    <d v="2026-02-17T00:00:00"/>
    <x v="0"/>
    <s v="Afi"/>
    <s v="Lait en poudre 400 g"/>
    <s v="Alimentaire"/>
    <n v="2"/>
    <n v="2500"/>
    <n v="5000"/>
    <s v="Espèces"/>
    <s v="février"/>
    <s v="Non"/>
  </r>
  <r>
    <s v="V0162"/>
    <d v="2026-03-22T00:00:00"/>
    <x v="0"/>
    <s v="Yawo"/>
    <s v="Eau minérale 1,5 L"/>
    <s v="Boissons"/>
    <n v="10"/>
    <n v="500"/>
    <n v="5000"/>
    <s v="Espèces"/>
    <s v="mars"/>
    <s v="Non"/>
  </r>
  <r>
    <s v="V0169"/>
    <d v="2026-03-27T00:00:00"/>
    <x v="1"/>
    <s v="Kofi"/>
    <s v="Lait en poudre 400 g"/>
    <s v="Alimentaire"/>
    <n v="2"/>
    <n v="2500"/>
    <n v="5000"/>
    <s v="Espèces"/>
    <s v="mars"/>
    <s v="Non"/>
  </r>
  <r>
    <s v="V0230"/>
    <d v="2026-04-24T00:00:00"/>
    <x v="1"/>
    <s v="Kofi"/>
    <s v="Lait en poudre 400 g"/>
    <s v="Alimentaire"/>
    <n v="2"/>
    <n v="2500"/>
    <n v="5000"/>
    <s v="Espèces"/>
    <s v="avril"/>
    <s v="Non"/>
  </r>
  <r>
    <s v="V0275"/>
    <d v="2026-05-15T00:00:00"/>
    <x v="1"/>
    <s v="Kofi"/>
    <s v="Jus de fruit 1 L"/>
    <s v="Boissons"/>
    <n v="5"/>
    <n v="1000"/>
    <n v="5000"/>
    <s v="T-Money"/>
    <s v="mai"/>
    <s v="Non"/>
  </r>
  <r>
    <s v="V0280"/>
    <d v="2026-05-18T00:00:00"/>
    <x v="2"/>
    <s v="Komla"/>
    <s v="Lait en poudre 400 g"/>
    <s v="Alimentaire"/>
    <n v="2"/>
    <n v="2500"/>
    <n v="5000"/>
    <s v="Espèces"/>
    <s v="mai"/>
    <s v="Non"/>
  </r>
  <r>
    <s v="V0312"/>
    <d v="2026-05-29T00:00:00"/>
    <x v="2"/>
    <s v="Essi"/>
    <s v="Jus de fruit 1 L"/>
    <s v="Boissons"/>
    <n v="5"/>
    <n v="1000"/>
    <n v="5000"/>
    <s v="Espèces"/>
    <s v="mai"/>
    <s v="Non"/>
  </r>
  <r>
    <s v="V0325"/>
    <d v="2026-06-03T00:00:00"/>
    <x v="1"/>
    <s v="Kofi"/>
    <s v="Lait en poudre 400 g"/>
    <s v="Alimentaire"/>
    <n v="2"/>
    <n v="2500"/>
    <n v="5000"/>
    <s v="Espèces"/>
    <s v="juin"/>
    <s v="Non"/>
  </r>
  <r>
    <s v="V0358"/>
    <d v="2026-06-15T00:00:00"/>
    <x v="0"/>
    <s v="Afi"/>
    <s v="Eau minérale 1,5 L"/>
    <s v="Boissons"/>
    <n v="10"/>
    <n v="500"/>
    <n v="5000"/>
    <s v="Espèces"/>
    <s v="juin"/>
    <s v="Non"/>
  </r>
  <r>
    <s v="V0400"/>
    <d v="2026-06-30T00:00:00"/>
    <x v="1"/>
    <s v="Ama"/>
    <s v="Lait en poudre 400 g"/>
    <s v="Alimentaire"/>
    <n v="2"/>
    <n v="2500"/>
    <n v="5000"/>
    <s v="Espèces"/>
    <s v="juin"/>
    <s v="Non"/>
  </r>
  <r>
    <s v="V0214"/>
    <d v="2026-04-17T00:00:00"/>
    <x v="1"/>
    <s v="Kofi"/>
    <s v="Sucre 1 kg"/>
    <s v="Alimentaire"/>
    <n v="6"/>
    <n v="800"/>
    <n v="4800"/>
    <s v="Flooz"/>
    <s v="avril"/>
    <s v="Non"/>
  </r>
  <r>
    <s v="V0236"/>
    <d v="2026-04-26T00:00:00"/>
    <x v="0"/>
    <s v="Afi"/>
    <s v="Sucre 1 kg"/>
    <s v="Alimentaire"/>
    <n v="6"/>
    <n v="800"/>
    <n v="4800"/>
    <s v="T-Money"/>
    <s v="avril"/>
    <s v="Non"/>
  </r>
  <r>
    <s v="V0132"/>
    <d v="2026-03-08T00:00:00"/>
    <x v="2"/>
    <s v="Essi"/>
    <s v="Pâtes spaghetti 500 g"/>
    <s v="Alimentaire"/>
    <n v="10"/>
    <n v="450"/>
    <n v="4500"/>
    <s v="Espèces"/>
    <s v="mars"/>
    <s v="Non"/>
  </r>
  <r>
    <s v="V0160"/>
    <d v="2026-03-20T00:00:00"/>
    <x v="0"/>
    <s v="Yawo"/>
    <s v="Huile végétale 1 L"/>
    <s v="Alimentaire"/>
    <n v="3"/>
    <n v="1500"/>
    <n v="4500"/>
    <s v="Espèces"/>
    <s v="mars"/>
    <s v="Non"/>
  </r>
  <r>
    <s v="V0212"/>
    <d v="2026-04-16T00:00:00"/>
    <x v="1"/>
    <s v="Ama"/>
    <s v="Lessive 500 g"/>
    <s v="Hygiène"/>
    <n v="5"/>
    <n v="900"/>
    <n v="4500"/>
    <s v="T-Money"/>
    <s v="avril"/>
    <s v="Non"/>
  </r>
  <r>
    <s v="V0239"/>
    <d v="2026-04-27T00:00:00"/>
    <x v="2"/>
    <s v="Essi"/>
    <s v="Huile végétale 1 L"/>
    <s v="Alimentaire"/>
    <n v="3"/>
    <n v="1500"/>
    <n v="4500"/>
    <s v="Espèces"/>
    <s v="avril"/>
    <s v="Non"/>
  </r>
  <r>
    <s v="V0286"/>
    <d v="2026-05-19T00:00:00"/>
    <x v="0"/>
    <s v="Yawo"/>
    <s v="Huile végétale 1 L"/>
    <s v="Alimentaire"/>
    <n v="3"/>
    <n v="1500"/>
    <n v="4500"/>
    <s v="Flooz"/>
    <s v="mai"/>
    <s v="Non"/>
  </r>
  <r>
    <s v="V0304"/>
    <d v="2026-05-26T00:00:00"/>
    <x v="1"/>
    <s v="Kofi"/>
    <s v="Lessive 500 g"/>
    <s v="Hygiène"/>
    <n v="5"/>
    <n v="900"/>
    <n v="4500"/>
    <s v="T-Money"/>
    <s v="mai"/>
    <s v="Non"/>
  </r>
  <r>
    <s v="V0352"/>
    <d v="2026-06-14T00:00:00"/>
    <x v="1"/>
    <s v="Ama"/>
    <s v="Lessive 500 g"/>
    <s v="Hygiène"/>
    <n v="5"/>
    <n v="900"/>
    <n v="4500"/>
    <s v="T-Money"/>
    <s v="juin"/>
    <s v="Non"/>
  </r>
  <r>
    <s v="V0392"/>
    <d v="2026-06-27T00:00:00"/>
    <x v="2"/>
    <s v="Komla"/>
    <s v="Lessive 500 g"/>
    <s v="Hygiène"/>
    <n v="5"/>
    <n v="900"/>
    <n v="4500"/>
    <s v="Espèces"/>
    <s v="juin"/>
    <s v="Non"/>
  </r>
  <r>
    <s v="V0058"/>
    <d v="2026-01-29T00:00:00"/>
    <x v="0"/>
    <s v="Yawo"/>
    <s v="Dentifrice"/>
    <s v="Hygiène"/>
    <n v="6"/>
    <n v="700"/>
    <n v="4200"/>
    <s v="Espèces"/>
    <s v="janvier"/>
    <s v="Non"/>
  </r>
  <r>
    <s v="V0060"/>
    <d v="2026-01-30T00:00:00"/>
    <x v="0"/>
    <s v="Yawo"/>
    <s v="Dentifrice"/>
    <s v="Hygiène"/>
    <n v="6"/>
    <n v="700"/>
    <n v="4200"/>
    <s v="Espèces"/>
    <s v="janvier"/>
    <s v="Non"/>
  </r>
  <r>
    <s v="V0074"/>
    <d v="2026-02-05T00:00:00"/>
    <x v="2"/>
    <s v="Komla"/>
    <s v="Dentifrice"/>
    <s v="Hygiène"/>
    <n v="6"/>
    <n v="700"/>
    <n v="4200"/>
    <s v="Espèces"/>
    <s v="février"/>
    <s v="Non"/>
  </r>
  <r>
    <s v="V0146"/>
    <d v="2026-03-13T00:00:00"/>
    <x v="0"/>
    <s v="Afi"/>
    <s v="Dentifrice"/>
    <s v="Hygiène"/>
    <n v="6"/>
    <n v="700"/>
    <n v="4200"/>
    <s v="Espèces"/>
    <s v="mars"/>
    <s v="Non"/>
  </r>
  <r>
    <s v="V0331"/>
    <d v="2026-06-06T00:00:00"/>
    <x v="2"/>
    <s v="Komla"/>
    <s v="Dentifrice"/>
    <s v="Hygiène"/>
    <n v="6"/>
    <n v="700"/>
    <n v="4200"/>
    <s v="Espèces"/>
    <s v="juin"/>
    <s v="Non"/>
  </r>
  <r>
    <s v="V0049"/>
    <d v="2026-01-27T00:00:00"/>
    <x v="2"/>
    <s v="Komla"/>
    <s v="Sucre 1 kg"/>
    <s v="Alimentaire"/>
    <n v="5"/>
    <n v="800"/>
    <n v="4000"/>
    <s v="Espèces"/>
    <s v="janvier"/>
    <s v="Non"/>
  </r>
  <r>
    <s v="V0165"/>
    <d v="2026-03-27T00:00:00"/>
    <x v="1"/>
    <s v="Ama"/>
    <s v="Sucre 1 kg"/>
    <s v="Alimentaire"/>
    <n v="5"/>
    <n v="800"/>
    <n v="4000"/>
    <s v="Espèces"/>
    <s v="mars"/>
    <s v="Non"/>
  </r>
  <r>
    <s v="V0229"/>
    <d v="2026-04-24T00:00:00"/>
    <x v="0"/>
    <s v="Afi"/>
    <s v="Tomate concentrée"/>
    <s v="Alimentaire"/>
    <n v="10"/>
    <n v="400"/>
    <n v="4000"/>
    <s v="T-Money"/>
    <s v="avril"/>
    <s v="Non"/>
  </r>
  <r>
    <s v="V0254"/>
    <d v="2026-05-02T00:00:00"/>
    <x v="2"/>
    <s v="Komla"/>
    <s v="Jus de fruit 1 L"/>
    <s v="Boissons"/>
    <n v="4"/>
    <n v="1000"/>
    <n v="4000"/>
    <s v="Flooz"/>
    <s v="mai"/>
    <s v="Non"/>
  </r>
  <r>
    <s v="V0293"/>
    <d v="2026-05-22T00:00:00"/>
    <x v="1"/>
    <s v="Ama"/>
    <s v="Tomate concentrée"/>
    <s v="Alimentaire"/>
    <n v="10"/>
    <n v="400"/>
    <n v="4000"/>
    <s v="Espèces"/>
    <s v="mai"/>
    <s v="Non"/>
  </r>
  <r>
    <s v="V0308"/>
    <d v="2026-05-28T00:00:00"/>
    <x v="1"/>
    <s v="Ama"/>
    <s v="Jus de fruit 1 L"/>
    <s v="Boissons"/>
    <n v="4"/>
    <n v="1000"/>
    <n v="4000"/>
    <s v="Espèces"/>
    <s v="mai"/>
    <s v="Non"/>
  </r>
  <r>
    <s v="V0339"/>
    <d v="2026-06-09T00:00:00"/>
    <x v="1"/>
    <s v="Kofi"/>
    <s v="Sucre 1 kg"/>
    <s v="Alimentaire"/>
    <n v="5"/>
    <n v="800"/>
    <n v="4000"/>
    <s v="T-Money"/>
    <s v="juin"/>
    <s v="Non"/>
  </r>
  <r>
    <s v="V0374"/>
    <d v="2026-06-20T00:00:00"/>
    <x v="0"/>
    <s v="Yawo"/>
    <s v="Tomate concentrée"/>
    <s v="Alimentaire"/>
    <n v="10"/>
    <n v="400"/>
    <n v="4000"/>
    <s v="Espèces"/>
    <s v="juin"/>
    <s v="Non"/>
  </r>
  <r>
    <s v="V0381"/>
    <d v="2026-06-23T00:00:00"/>
    <x v="0"/>
    <s v="Afi"/>
    <s v="Tomate concentrée"/>
    <s v="Alimentaire"/>
    <n v="10"/>
    <n v="400"/>
    <n v="4000"/>
    <s v="Flooz"/>
    <s v="juin"/>
    <s v="Non"/>
  </r>
  <r>
    <s v="V0033"/>
    <d v="2026-01-20T00:00:00"/>
    <x v="1"/>
    <s v="Kofi"/>
    <s v="Piles AA (lot de 4)"/>
    <s v="Épicerie"/>
    <n v="3"/>
    <n v="1200"/>
    <n v="3600"/>
    <s v="T-Money"/>
    <s v="janvier"/>
    <s v="Non"/>
  </r>
  <r>
    <s v="V0109"/>
    <d v="2026-02-18T00:00:00"/>
    <x v="1"/>
    <s v="Kofi"/>
    <s v="Lessive 500 g"/>
    <s v="Hygiène"/>
    <n v="4"/>
    <n v="900"/>
    <n v="3600"/>
    <s v="Espèces"/>
    <s v="février"/>
    <s v="Non"/>
  </r>
  <r>
    <s v="V0117"/>
    <d v="2026-02-24T00:00:00"/>
    <x v="1"/>
    <s v="Ama"/>
    <s v="Bougies (lot de 6)"/>
    <s v="Épicerie"/>
    <n v="6"/>
    <n v="600"/>
    <n v="3600"/>
    <s v="T-Money"/>
    <s v="février"/>
    <s v="Non"/>
  </r>
  <r>
    <s v="V0138"/>
    <d v="2026-03-09T00:00:00"/>
    <x v="2"/>
    <s v="Essi"/>
    <s v="Piles AA (lot de 4)"/>
    <s v="Épicerie"/>
    <n v="3"/>
    <n v="1200"/>
    <n v="3600"/>
    <s v="Flooz"/>
    <s v="mars"/>
    <s v="Non"/>
  </r>
  <r>
    <s v="V0233"/>
    <d v="2026-04-25T00:00:00"/>
    <x v="2"/>
    <s v="Essi"/>
    <s v="Piles AA (lot de 4)"/>
    <s v="Épicerie"/>
    <n v="3"/>
    <n v="1200"/>
    <n v="3600"/>
    <s v="Espèces"/>
    <s v="avril"/>
    <s v="Non"/>
  </r>
  <r>
    <s v="V0265"/>
    <d v="2026-05-08T00:00:00"/>
    <x v="2"/>
    <s v="Essi"/>
    <s v="Bougies (lot de 6)"/>
    <s v="Épicerie"/>
    <n v="6"/>
    <n v="600"/>
    <n v="3600"/>
    <s v="Espèces"/>
    <s v="mai"/>
    <s v="Non"/>
  </r>
  <r>
    <s v="V0310"/>
    <d v="2026-05-28T00:00:00"/>
    <x v="0"/>
    <s v="Afi"/>
    <s v="Lessive 500 g"/>
    <s v="Hygiène"/>
    <n v="4"/>
    <n v="900"/>
    <n v="3600"/>
    <s v="Espèces"/>
    <s v="mai"/>
    <s v="Non"/>
  </r>
  <r>
    <s v="V0330"/>
    <d v="2026-06-05T00:00:00"/>
    <x v="1"/>
    <s v="Ama"/>
    <s v="Piles AA (lot de 4)"/>
    <s v="Épicerie"/>
    <n v="3"/>
    <n v="1200"/>
    <n v="3600"/>
    <s v="Espèces"/>
    <s v="juin"/>
    <s v="Non"/>
  </r>
  <r>
    <s v="V0006"/>
    <d v="2026-01-05T00:00:00"/>
    <x v="1"/>
    <s v="Ama"/>
    <s v="Riz 5 kg"/>
    <s v="Alimentaire"/>
    <n v="1"/>
    <n v="3500"/>
    <n v="3500"/>
    <s v="T-Money"/>
    <s v="janvier"/>
    <s v="Non"/>
  </r>
  <r>
    <s v="V0036"/>
    <d v="2026-01-22T00:00:00"/>
    <x v="2"/>
    <s v="Komla"/>
    <s v="Riz 5 kg"/>
    <s v="Alimentaire"/>
    <n v="1"/>
    <n v="3500"/>
    <n v="3500"/>
    <s v="T-Money"/>
    <s v="janvier"/>
    <s v="Non"/>
  </r>
  <r>
    <s v="V0052"/>
    <d v="2026-01-28T00:00:00"/>
    <x v="0"/>
    <s v="Afi"/>
    <s v="Dentifrice"/>
    <s v="Hygiène"/>
    <n v="5"/>
    <n v="700"/>
    <n v="3500"/>
    <s v="T-Money"/>
    <s v="janvier"/>
    <s v="Non"/>
  </r>
  <r>
    <s v="V0073"/>
    <d v="2026-02-04T00:00:00"/>
    <x v="1"/>
    <s v="Ama"/>
    <s v="Riz 5 kg"/>
    <s v="Alimentaire"/>
    <n v="1"/>
    <n v="3500"/>
    <n v="3500"/>
    <s v="Espèces"/>
    <s v="février"/>
    <s v="Non"/>
  </r>
  <r>
    <s v="V0076"/>
    <d v="2026-02-05T00:00:00"/>
    <x v="0"/>
    <s v="Yawo"/>
    <s v="Dentifrice"/>
    <s v="Hygiène"/>
    <n v="5"/>
    <n v="700"/>
    <n v="3500"/>
    <s v="Flooz"/>
    <s v="février"/>
    <s v="Non"/>
  </r>
  <r>
    <s v="V0080"/>
    <d v="2026-02-06T00:00:00"/>
    <x v="2"/>
    <s v="Essi"/>
    <s v="Riz 5 kg"/>
    <s v="Alimentaire"/>
    <n v="1"/>
    <n v="3500"/>
    <n v="3500"/>
    <s v="Espèces"/>
    <s v="février"/>
    <s v="Non"/>
  </r>
  <r>
    <s v="V0081"/>
    <d v="2026-02-07T00:00:00"/>
    <x v="0"/>
    <s v="Yawo"/>
    <s v="Riz 5 kg"/>
    <s v="Alimentaire"/>
    <n v="1"/>
    <n v="3500"/>
    <n v="3500"/>
    <s v="Espèces"/>
    <s v="février"/>
    <s v="Non"/>
  </r>
  <r>
    <s v="V0122"/>
    <d v="2026-02-27T00:00:00"/>
    <x v="1"/>
    <s v="Kofi"/>
    <s v="Riz 5 kg"/>
    <s v="Alimentaire"/>
    <n v="1"/>
    <n v="3500"/>
    <n v="3500"/>
    <s v="Espèces"/>
    <s v="février"/>
    <s v="Non"/>
  </r>
  <r>
    <s v="V0127"/>
    <d v="2026-03-03T00:00:00"/>
    <x v="2"/>
    <s v="Essi"/>
    <s v="Dentifrice"/>
    <s v="Hygiène"/>
    <n v="5"/>
    <n v="700"/>
    <n v="3500"/>
    <s v="Espèces"/>
    <s v="mars"/>
    <s v="Non"/>
  </r>
  <r>
    <s v="V0129"/>
    <d v="2026-03-05T00:00:00"/>
    <x v="1"/>
    <s v="Kofi"/>
    <s v="Riz 5 kg"/>
    <s v="Alimentaire"/>
    <n v="1"/>
    <n v="3500"/>
    <n v="3500"/>
    <s v="Flooz"/>
    <s v="mars"/>
    <s v="Non"/>
  </r>
  <r>
    <s v="V0201"/>
    <d v="2026-04-12T00:00:00"/>
    <x v="2"/>
    <s v="Komla"/>
    <s v="Riz 5 kg"/>
    <s v="Alimentaire"/>
    <n v="1"/>
    <n v="3500"/>
    <n v="3500"/>
    <s v="Espèces"/>
    <s v="avril"/>
    <s v="Non"/>
  </r>
  <r>
    <s v="V0269"/>
    <d v="2026-05-11T00:00:00"/>
    <x v="0"/>
    <s v="Yawo"/>
    <s v="Riz 5 kg"/>
    <s v="Alimentaire"/>
    <n v="1"/>
    <n v="3500"/>
    <n v="3500"/>
    <s v="Espèces"/>
    <s v="mai"/>
    <s v="Non"/>
  </r>
  <r>
    <s v="V0277"/>
    <d v="2026-05-16T00:00:00"/>
    <x v="1"/>
    <s v="Kofi"/>
    <s v="Riz 5 kg"/>
    <s v="Alimentaire"/>
    <n v="1"/>
    <n v="3500"/>
    <n v="3500"/>
    <s v="Espèces"/>
    <s v="mai"/>
    <s v="Non"/>
  </r>
  <r>
    <s v="V0278"/>
    <d v="2026-05-17T00:00:00"/>
    <x v="1"/>
    <s v="Kofi"/>
    <s v="Dentifrice"/>
    <s v="Hygiène"/>
    <n v="5"/>
    <n v="700"/>
    <n v="3500"/>
    <s v="Flooz"/>
    <s v="mai"/>
    <s v="Non"/>
  </r>
  <r>
    <s v="V0285"/>
    <d v="2026-05-19T00:00:00"/>
    <x v="0"/>
    <s v="Afi"/>
    <s v="Riz 5 kg"/>
    <s v="Alimentaire"/>
    <n v="1"/>
    <n v="3500"/>
    <n v="3500"/>
    <s v="T-Money"/>
    <s v="mai"/>
    <s v="Non"/>
  </r>
  <r>
    <s v="V0004"/>
    <d v="2026-01-04T00:00:00"/>
    <x v="1"/>
    <s v="Kofi"/>
    <s v="Sucre 1 kg"/>
    <s v="Alimentaire"/>
    <n v="4"/>
    <n v="800"/>
    <n v="3200"/>
    <s v="Espèces"/>
    <s v="janvier"/>
    <s v="Non"/>
  </r>
  <r>
    <s v="V0077"/>
    <d v="2026-02-05T00:00:00"/>
    <x v="0"/>
    <s v="Afi"/>
    <s v="Sucre 1 kg"/>
    <s v="Alimentaire"/>
    <n v="4"/>
    <n v="800"/>
    <n v="3200"/>
    <s v="Flooz"/>
    <s v="février"/>
    <s v="Non"/>
  </r>
  <r>
    <s v="V0114"/>
    <d v="2026-02-24T00:00:00"/>
    <x v="0"/>
    <s v="Yawo"/>
    <s v="Sucre 1 kg"/>
    <s v="Alimentaire"/>
    <n v="4"/>
    <n v="800"/>
    <n v="3200"/>
    <s v="Espèces"/>
    <s v="février"/>
    <s v="Non"/>
  </r>
  <r>
    <s v="V0038"/>
    <d v="2026-01-22T00:00:00"/>
    <x v="2"/>
    <s v="Essi"/>
    <s v="Huile végétale 1 L"/>
    <s v="Alimentaire"/>
    <n v="2"/>
    <n v="1500"/>
    <n v="3000"/>
    <s v="T-Money"/>
    <s v="janvier"/>
    <s v="Non"/>
  </r>
  <r>
    <s v="V0045"/>
    <d v="2026-01-24T00:00:00"/>
    <x v="2"/>
    <s v="Komla"/>
    <s v="Savon de toilette"/>
    <s v="Hygiène"/>
    <n v="10"/>
    <n v="300"/>
    <n v="3000"/>
    <s v="Espèces"/>
    <s v="janvier"/>
    <s v="Non"/>
  </r>
  <r>
    <s v="V0068"/>
    <d v="2026-02-02T00:00:00"/>
    <x v="2"/>
    <s v="Komla"/>
    <s v="Huile végétale 1 L"/>
    <s v="Alimentaire"/>
    <n v="2"/>
    <n v="1500"/>
    <n v="3000"/>
    <s v="Espèces"/>
    <s v="février"/>
    <s v="Non"/>
  </r>
  <r>
    <s v="V0084"/>
    <d v="2026-02-08T00:00:00"/>
    <x v="0"/>
    <s v="Yawo"/>
    <s v="Eau minérale 1,5 L"/>
    <s v="Boissons"/>
    <n v="6"/>
    <n v="500"/>
    <n v="3000"/>
    <s v="T-Money"/>
    <s v="février"/>
    <s v="Non"/>
  </r>
  <r>
    <s v="V0085"/>
    <d v="2026-02-09T00:00:00"/>
    <x v="2"/>
    <s v="Komla"/>
    <s v="Huile végétale 1 L"/>
    <s v="Alimentaire"/>
    <n v="2"/>
    <n v="1500"/>
    <n v="3000"/>
    <s v="Espèces"/>
    <s v="février"/>
    <s v="Non"/>
  </r>
  <r>
    <s v="V0111"/>
    <d v="2026-02-19T00:00:00"/>
    <x v="0"/>
    <s v="Afi"/>
    <s v="Huile végétale 1 L"/>
    <s v="Alimentaire"/>
    <n v="2"/>
    <n v="1500"/>
    <n v="3000"/>
    <s v="Espèces"/>
    <s v="février"/>
    <s v="Non"/>
  </r>
  <r>
    <s v="V0120"/>
    <d v="2026-02-26T00:00:00"/>
    <x v="0"/>
    <s v="Yawo"/>
    <s v="Huile végétale 1 L"/>
    <s v="Alimentaire"/>
    <n v="2"/>
    <n v="1500"/>
    <n v="3000"/>
    <s v="T-Money"/>
    <s v="février"/>
    <s v="Non"/>
  </r>
  <r>
    <s v="V0156"/>
    <d v="2026-03-19T00:00:00"/>
    <x v="1"/>
    <s v="Kofi"/>
    <s v="Huile végétale 1 L"/>
    <s v="Alimentaire"/>
    <n v="2"/>
    <n v="1500"/>
    <n v="3000"/>
    <s v="T-Money"/>
    <s v="mars"/>
    <s v="Non"/>
  </r>
  <r>
    <s v="V0191"/>
    <d v="2026-04-07T00:00:00"/>
    <x v="0"/>
    <s v="Yawo"/>
    <s v="Huile végétale 1 L"/>
    <s v="Alimentaire"/>
    <n v="2"/>
    <n v="1500"/>
    <n v="3000"/>
    <s v="T-Money"/>
    <s v="avril"/>
    <s v="Non"/>
  </r>
  <r>
    <s v="V0192"/>
    <d v="2026-04-08T00:00:00"/>
    <x v="2"/>
    <s v="Komla"/>
    <s v="Savon de toilette"/>
    <s v="Hygiène"/>
    <n v="10"/>
    <n v="300"/>
    <n v="3000"/>
    <s v="Espèces"/>
    <s v="avril"/>
    <s v="Non"/>
  </r>
  <r>
    <s v="V0200"/>
    <d v="2026-04-12T00:00:00"/>
    <x v="2"/>
    <s v="Essi"/>
    <s v="Huile végétale 1 L"/>
    <s v="Alimentaire"/>
    <n v="2"/>
    <n v="1500"/>
    <n v="3000"/>
    <s v="Espèces"/>
    <s v="avril"/>
    <s v="Non"/>
  </r>
  <r>
    <s v="V0208"/>
    <d v="2026-04-14T00:00:00"/>
    <x v="0"/>
    <s v="Afi"/>
    <s v="Huile végétale 1 L"/>
    <s v="Alimentaire"/>
    <n v="2"/>
    <n v="1500"/>
    <n v="3000"/>
    <s v="T-Money"/>
    <s v="avril"/>
    <s v="Non"/>
  </r>
  <r>
    <s v="V0247"/>
    <d v="2026-04-30T00:00:00"/>
    <x v="0"/>
    <s v="Yawo"/>
    <s v="Huile végétale 1 L"/>
    <s v="Alimentaire"/>
    <n v="2"/>
    <n v="1500"/>
    <n v="3000"/>
    <s v="Flooz"/>
    <s v="avril"/>
    <s v="Non"/>
  </r>
  <r>
    <s v="V0279"/>
    <d v="2026-05-18T00:00:00"/>
    <x v="1"/>
    <s v="Ama"/>
    <s v="Huile végétale 1 L"/>
    <s v="Alimentaire"/>
    <n v="2"/>
    <n v="1500"/>
    <n v="3000"/>
    <s v="Espèces"/>
    <s v="mai"/>
    <s v="Non"/>
  </r>
  <r>
    <s v="V0282"/>
    <d v="2026-05-18T00:00:00"/>
    <x v="1"/>
    <s v="Ama"/>
    <s v="Jus de fruit 1 L"/>
    <s v="Boissons"/>
    <n v="3"/>
    <n v="1000"/>
    <n v="3000"/>
    <s v="T-Money"/>
    <s v="mai"/>
    <s v="Non"/>
  </r>
  <r>
    <s v="V0317"/>
    <d v="2026-05-30T00:00:00"/>
    <x v="0"/>
    <s v="Afi"/>
    <s v="Huile végétale 1 L"/>
    <s v="Alimentaire"/>
    <n v="2"/>
    <n v="1500"/>
    <n v="3000"/>
    <s v="Espèces"/>
    <s v="mai"/>
    <s v="Non"/>
  </r>
  <r>
    <s v="V0337"/>
    <d v="2026-06-09T00:00:00"/>
    <x v="2"/>
    <s v="Komla"/>
    <s v="Huile végétale 1 L"/>
    <s v="Alimentaire"/>
    <n v="2"/>
    <n v="1500"/>
    <n v="3000"/>
    <s v="Espèces"/>
    <s v="juin"/>
    <s v="Non"/>
  </r>
  <r>
    <s v="V0399"/>
    <d v="2026-06-30T00:00:00"/>
    <x v="1"/>
    <s v="Ama"/>
    <s v="Huile végétale 1 L"/>
    <s v="Alimentaire"/>
    <n v="2"/>
    <n v="1500"/>
    <n v="3000"/>
    <s v="Flooz"/>
    <s v="juin"/>
    <s v="Non"/>
  </r>
  <r>
    <s v="V0108"/>
    <d v="2026-02-18T00:00:00"/>
    <x v="1"/>
    <s v="Kofi"/>
    <s v="Dentifrice"/>
    <s v="Hygiène"/>
    <n v="4"/>
    <n v="700"/>
    <n v="2800"/>
    <s v="Espèces"/>
    <s v="février"/>
    <s v="Non"/>
  </r>
  <r>
    <s v="V0154"/>
    <d v="2026-03-18T00:00:00"/>
    <x v="2"/>
    <s v="Essi"/>
    <s v="Dentifrice"/>
    <s v="Hygiène"/>
    <n v="4"/>
    <n v="700"/>
    <n v="2800"/>
    <s v="Espèces"/>
    <s v="mars"/>
    <s v="Non"/>
  </r>
  <r>
    <s v="V0244"/>
    <d v="2026-04-29T00:00:00"/>
    <x v="2"/>
    <s v="Essi"/>
    <s v="Dentifrice"/>
    <s v="Hygiène"/>
    <n v="4"/>
    <n v="700"/>
    <n v="2800"/>
    <s v="Espèces"/>
    <s v="avril"/>
    <s v="Non"/>
  </r>
  <r>
    <s v="V0371"/>
    <d v="2026-06-19T00:00:00"/>
    <x v="1"/>
    <s v="Kofi"/>
    <s v="Dentifrice"/>
    <s v="Hygiène"/>
    <n v="4"/>
    <n v="700"/>
    <n v="2800"/>
    <s v="Espèces"/>
    <s v="juin"/>
    <s v="Non"/>
  </r>
  <r>
    <s v="V0376"/>
    <d v="2026-06-21T00:00:00"/>
    <x v="2"/>
    <s v="Komla"/>
    <s v="Dentifrice"/>
    <s v="Hygiène"/>
    <n v="4"/>
    <n v="700"/>
    <n v="2800"/>
    <s v="Espèces"/>
    <s v="juin"/>
    <s v="Non"/>
  </r>
  <r>
    <s v="V0391"/>
    <d v="2026-06-27T00:00:00"/>
    <x v="0"/>
    <s v="Afi"/>
    <s v="Dentifrice"/>
    <s v="Hygiène"/>
    <n v="4"/>
    <n v="700"/>
    <n v="2800"/>
    <s v="T-Money"/>
    <s v="juin"/>
    <s v="Non"/>
  </r>
  <r>
    <s v="V0025"/>
    <d v="2026-01-15T00:00:00"/>
    <x v="2"/>
    <s v="Komla"/>
    <s v="Lessive 500 g"/>
    <s v="Hygiène"/>
    <n v="3"/>
    <n v="900"/>
    <n v="2700"/>
    <s v="Espèces"/>
    <s v="janvier"/>
    <s v="Non"/>
  </r>
  <r>
    <s v="V0043"/>
    <d v="2026-01-24T00:00:00"/>
    <x v="0"/>
    <s v="Yawo"/>
    <s v="Lessive 500 g"/>
    <s v="Hygiène"/>
    <n v="3"/>
    <n v="900"/>
    <n v="2700"/>
    <s v="T-Money"/>
    <s v="janvier"/>
    <s v="Non"/>
  </r>
  <r>
    <s v="V0089"/>
    <d v="2026-02-10T00:00:00"/>
    <x v="0"/>
    <s v="Afi"/>
    <s v="Lessive 500 g"/>
    <s v="Hygiène"/>
    <n v="3"/>
    <n v="900"/>
    <n v="2700"/>
    <s v="T-Money"/>
    <s v="février"/>
    <s v="Non"/>
  </r>
  <r>
    <s v="V0092"/>
    <d v="2026-02-12T00:00:00"/>
    <x v="0"/>
    <s v="Afi"/>
    <s v="Pâtes spaghetti 500 g"/>
    <s v="Alimentaire"/>
    <n v="6"/>
    <n v="450"/>
    <n v="2700"/>
    <s v="T-Money"/>
    <s v="février"/>
    <s v="Non"/>
  </r>
  <r>
    <s v="V0189"/>
    <d v="2026-04-06T00:00:00"/>
    <x v="0"/>
    <s v="Yawo"/>
    <s v="Pâtes spaghetti 500 g"/>
    <s v="Alimentaire"/>
    <n v="6"/>
    <n v="450"/>
    <n v="2700"/>
    <s v="Espèces"/>
    <s v="avril"/>
    <s v="Non"/>
  </r>
  <r>
    <s v="V0032"/>
    <d v="2026-01-20T00:00:00"/>
    <x v="1"/>
    <s v="Kofi"/>
    <s v="Eau minérale 1,5 L"/>
    <s v="Boissons"/>
    <n v="5"/>
    <n v="500"/>
    <n v="2500"/>
    <s v="T-Money"/>
    <s v="janvier"/>
    <s v="Non"/>
  </r>
  <r>
    <s v="V0040"/>
    <d v="2026-01-23T00:00:00"/>
    <x v="1"/>
    <s v="Ama"/>
    <s v="Eau minérale 1,5 L"/>
    <s v="Boissons"/>
    <n v="5"/>
    <n v="500"/>
    <n v="2500"/>
    <s v="Espèces"/>
    <s v="janvier"/>
    <s v="Non"/>
  </r>
  <r>
    <s v="V0087"/>
    <d v="2026-02-09T00:00:00"/>
    <x v="2"/>
    <s v="Essi"/>
    <s v="Lait en poudre 400 g"/>
    <s v="Alimentaire"/>
    <n v="1"/>
    <n v="2500"/>
    <n v="2500"/>
    <s v="Espèces"/>
    <s v="février"/>
    <s v="Non"/>
  </r>
  <r>
    <s v="V0088"/>
    <d v="2026-02-10T00:00:00"/>
    <x v="2"/>
    <s v="Essi"/>
    <s v="Lait en poudre 400 g"/>
    <s v="Alimentaire"/>
    <n v="1"/>
    <n v="2500"/>
    <n v="2500"/>
    <s v="Espèces"/>
    <s v="février"/>
    <s v="Non"/>
  </r>
  <r>
    <s v="V0101"/>
    <d v="2026-02-16T00:00:00"/>
    <x v="0"/>
    <s v="Yawo"/>
    <s v="Lait en poudre 400 g"/>
    <s v="Alimentaire"/>
    <n v="1"/>
    <n v="2500"/>
    <n v="2500"/>
    <s v="Espèces"/>
    <s v="février"/>
    <s v="Non"/>
  </r>
  <r>
    <s v="V0103"/>
    <d v="2026-02-16T00:00:00"/>
    <x v="2"/>
    <s v="Essi"/>
    <s v="Lait en poudre 400 g"/>
    <s v="Alimentaire"/>
    <n v="1"/>
    <n v="2500"/>
    <n v="2500"/>
    <s v="Espèces"/>
    <s v="février"/>
    <s v="Non"/>
  </r>
  <r>
    <s v="V0107"/>
    <d v="2026-02-17T00:00:00"/>
    <x v="1"/>
    <s v="Ama"/>
    <s v="Lait en poudre 400 g"/>
    <s v="Alimentaire"/>
    <n v="1"/>
    <n v="2500"/>
    <n v="2500"/>
    <s v="Espèces"/>
    <s v="février"/>
    <s v="Non"/>
  </r>
  <r>
    <s v="V0182"/>
    <d v="2026-04-03T00:00:00"/>
    <x v="1"/>
    <s v="Kofi"/>
    <s v="Eau minérale 1,5 L"/>
    <s v="Boissons"/>
    <n v="5"/>
    <n v="500"/>
    <n v="2500"/>
    <s v="Espèces"/>
    <s v="avril"/>
    <s v="Non"/>
  </r>
  <r>
    <s v="V0183"/>
    <d v="2026-04-04T00:00:00"/>
    <x v="1"/>
    <s v="Ama"/>
    <s v="Lait en poudre 400 g"/>
    <s v="Alimentaire"/>
    <n v="1"/>
    <n v="2500"/>
    <n v="2500"/>
    <s v="T-Money"/>
    <s v="avril"/>
    <s v="Non"/>
  </r>
  <r>
    <s v="V0190"/>
    <d v="2026-04-06T00:00:00"/>
    <x v="1"/>
    <s v="Kofi"/>
    <s v="Lait en poudre 400 g"/>
    <s v="Alimentaire"/>
    <n v="1"/>
    <n v="2500"/>
    <n v="2500"/>
    <s v="T-Money"/>
    <s v="avril"/>
    <s v="Non"/>
  </r>
  <r>
    <s v="V0228"/>
    <d v="2026-04-23T00:00:00"/>
    <x v="2"/>
    <s v="Komla"/>
    <s v="Lait en poudre 400 g"/>
    <s v="Alimentaire"/>
    <n v="1"/>
    <n v="2500"/>
    <n v="2500"/>
    <s v="Flooz"/>
    <s v="avril"/>
    <s v="Non"/>
  </r>
  <r>
    <s v="V0235"/>
    <d v="2026-04-26T00:00:00"/>
    <x v="1"/>
    <s v="Kofi"/>
    <s v="Lait en poudre 400 g"/>
    <s v="Alimentaire"/>
    <n v="1"/>
    <n v="2500"/>
    <n v="2500"/>
    <s v="Espèces"/>
    <s v="avril"/>
    <s v="Non"/>
  </r>
  <r>
    <s v="V0246"/>
    <d v="2026-04-30T00:00:00"/>
    <x v="0"/>
    <s v="Afi"/>
    <s v="Lait en poudre 400 g"/>
    <s v="Alimentaire"/>
    <n v="1"/>
    <n v="2500"/>
    <n v="2500"/>
    <s v="T-Money"/>
    <s v="avril"/>
    <s v="Non"/>
  </r>
  <r>
    <s v="V0249"/>
    <d v="2026-05-01T00:00:00"/>
    <x v="0"/>
    <s v="Afi"/>
    <s v="Lait en poudre 400 g"/>
    <s v="Alimentaire"/>
    <n v="1"/>
    <n v="2500"/>
    <n v="2500"/>
    <s v="Flooz"/>
    <s v="mai"/>
    <s v="Non"/>
  </r>
  <r>
    <s v="V0343"/>
    <d v="2026-06-10T00:00:00"/>
    <x v="0"/>
    <s v="Afi"/>
    <s v="Biscuits"/>
    <s v="Épicerie"/>
    <n v="10"/>
    <n v="250"/>
    <n v="2500"/>
    <s v="T-Money"/>
    <s v="juin"/>
    <s v="Non"/>
  </r>
  <r>
    <s v="V0364"/>
    <d v="2026-06-17T00:00:00"/>
    <x v="2"/>
    <s v="Komla"/>
    <s v="Eau minérale 1,5 L"/>
    <s v="Boissons"/>
    <n v="5"/>
    <n v="500"/>
    <n v="2500"/>
    <s v="Flooz"/>
    <s v="juin"/>
    <s v="Non"/>
  </r>
  <r>
    <s v="V0368"/>
    <d v="2026-06-18T00:00:00"/>
    <x v="1"/>
    <s v="Ama"/>
    <s v="Lait en poudre 400 g"/>
    <s v="Alimentaire"/>
    <n v="1"/>
    <n v="2500"/>
    <n v="2500"/>
    <s v="Flooz"/>
    <s v="juin"/>
    <s v="Non"/>
  </r>
  <r>
    <s v="V0050"/>
    <d v="2026-01-28T00:00:00"/>
    <x v="0"/>
    <s v="Yawo"/>
    <s v="Piles AA (lot de 4)"/>
    <s v="Épicerie"/>
    <n v="2"/>
    <n v="1200"/>
    <n v="2400"/>
    <s v="Espèces"/>
    <s v="janvier"/>
    <s v="Non"/>
  </r>
  <r>
    <s v="V0125"/>
    <d v="2026-03-02T00:00:00"/>
    <x v="1"/>
    <s v="Kofi"/>
    <s v="Bougies (lot de 6)"/>
    <s v="Épicerie"/>
    <n v="4"/>
    <n v="600"/>
    <n v="2400"/>
    <s v="Espèces"/>
    <s v="mars"/>
    <s v="Non"/>
  </r>
  <r>
    <s v="V0141"/>
    <d v="2026-03-11T00:00:00"/>
    <x v="0"/>
    <s v="Yawo"/>
    <s v="Piles AA (lot de 4)"/>
    <s v="Épicerie"/>
    <n v="2"/>
    <n v="1200"/>
    <n v="2400"/>
    <s v="Espèces"/>
    <s v="mars"/>
    <s v="Non"/>
  </r>
  <r>
    <s v="V0152"/>
    <d v="2026-03-18T00:00:00"/>
    <x v="2"/>
    <s v="Komla"/>
    <s v="Sucre 1 kg"/>
    <s v="Alimentaire"/>
    <n v="3"/>
    <n v="800"/>
    <n v="2400"/>
    <s v="T-Money"/>
    <s v="mars"/>
    <s v="Non"/>
  </r>
  <r>
    <s v="V0155"/>
    <d v="2026-03-18T00:00:00"/>
    <x v="2"/>
    <s v="Essi"/>
    <s v="Boisson gazeuse 50 cl"/>
    <s v="Boissons"/>
    <n v="6"/>
    <n v="400"/>
    <n v="2400"/>
    <s v="Espèces"/>
    <s v="mars"/>
    <s v="Non"/>
  </r>
  <r>
    <s v="V0157"/>
    <d v="2026-03-19T00:00:00"/>
    <x v="2"/>
    <s v="Essi"/>
    <s v="Tomate concentrée"/>
    <s v="Alimentaire"/>
    <n v="6"/>
    <n v="400"/>
    <n v="2400"/>
    <s v="Espèces"/>
    <s v="mars"/>
    <s v="Non"/>
  </r>
  <r>
    <s v="V0158"/>
    <d v="2026-03-19T00:00:00"/>
    <x v="1"/>
    <s v="Ama"/>
    <s v="Piles AA (lot de 4)"/>
    <s v="Épicerie"/>
    <n v="2"/>
    <n v="1200"/>
    <n v="2400"/>
    <s v="Espèces"/>
    <s v="mars"/>
    <s v="Non"/>
  </r>
  <r>
    <s v="V0197"/>
    <d v="2026-04-10T00:00:00"/>
    <x v="2"/>
    <s v="Komla"/>
    <s v="Piles AA (lot de 4)"/>
    <s v="Épicerie"/>
    <n v="2"/>
    <n v="1200"/>
    <n v="2400"/>
    <s v="Espèces"/>
    <s v="avril"/>
    <s v="Non"/>
  </r>
  <r>
    <s v="V0205"/>
    <d v="2026-04-14T00:00:00"/>
    <x v="2"/>
    <s v="Komla"/>
    <s v="Piles AA (lot de 4)"/>
    <s v="Épicerie"/>
    <n v="2"/>
    <n v="1200"/>
    <n v="2400"/>
    <s v="Flooz"/>
    <s v="avril"/>
    <s v="Non"/>
  </r>
  <r>
    <s v="V0210"/>
    <d v="2026-04-15T00:00:00"/>
    <x v="2"/>
    <s v="Komla"/>
    <s v="Sucre 1 kg"/>
    <s v="Alimentaire"/>
    <n v="3"/>
    <n v="800"/>
    <n v="2400"/>
    <s v="T-Money"/>
    <s v="avril"/>
    <s v="Non"/>
  </r>
  <r>
    <s v="V0224"/>
    <d v="2026-04-22T00:00:00"/>
    <x v="0"/>
    <s v="Afi"/>
    <s v="Bougies (lot de 6)"/>
    <s v="Épicerie"/>
    <n v="4"/>
    <n v="600"/>
    <n v="2400"/>
    <s v="Espèces"/>
    <s v="avril"/>
    <s v="Non"/>
  </r>
  <r>
    <s v="V0225"/>
    <d v="2026-04-23T00:00:00"/>
    <x v="1"/>
    <s v="Kofi"/>
    <s v="Bougies (lot de 6)"/>
    <s v="Épicerie"/>
    <n v="4"/>
    <n v="600"/>
    <n v="2400"/>
    <s v="T-Money"/>
    <s v="avril"/>
    <s v="Non"/>
  </r>
  <r>
    <s v="V0257"/>
    <d v="2026-05-04T00:00:00"/>
    <x v="0"/>
    <s v="Afi"/>
    <s v="Boisson gazeuse 50 cl"/>
    <s v="Boissons"/>
    <n v="6"/>
    <n v="400"/>
    <n v="2400"/>
    <s v="Espèces"/>
    <s v="mai"/>
    <s v="Non"/>
  </r>
  <r>
    <s v="V0320"/>
    <d v="2026-06-01T00:00:00"/>
    <x v="0"/>
    <s v="Yawo"/>
    <s v="Piles AA (lot de 4)"/>
    <s v="Épicerie"/>
    <n v="2"/>
    <n v="1200"/>
    <n v="2400"/>
    <s v="Espèces"/>
    <s v="juin"/>
    <s v="Non"/>
  </r>
  <r>
    <s v="V0329"/>
    <d v="2026-06-05T00:00:00"/>
    <x v="1"/>
    <s v="Kofi"/>
    <s v="Tomate concentrée"/>
    <s v="Alimentaire"/>
    <n v="6"/>
    <n v="400"/>
    <n v="2400"/>
    <s v="Espèces"/>
    <s v="juin"/>
    <s v="Non"/>
  </r>
  <r>
    <s v="V0338"/>
    <d v="2026-06-09T00:00:00"/>
    <x v="2"/>
    <s v="Komla"/>
    <s v="Bougies (lot de 6)"/>
    <s v="Épicerie"/>
    <n v="4"/>
    <n v="600"/>
    <n v="2400"/>
    <s v="Espèces"/>
    <s v="juin"/>
    <s v="Non"/>
  </r>
  <r>
    <s v="V0366"/>
    <d v="2026-06-17T00:00:00"/>
    <x v="2"/>
    <s v="Essi"/>
    <s v="Tomate concentrée"/>
    <s v="Alimentaire"/>
    <n v="6"/>
    <n v="400"/>
    <n v="2400"/>
    <s v="Espèces"/>
    <s v="juin"/>
    <s v="Non"/>
  </r>
  <r>
    <s v="V0369"/>
    <d v="2026-06-18T00:00:00"/>
    <x v="2"/>
    <s v="Essi"/>
    <s v="Piles AA (lot de 4)"/>
    <s v="Épicerie"/>
    <n v="2"/>
    <n v="1200"/>
    <n v="2400"/>
    <s v="Espèces"/>
    <s v="juin"/>
    <s v="Non"/>
  </r>
  <r>
    <s v="V0026"/>
    <d v="2026-01-17T00:00:00"/>
    <x v="1"/>
    <s v="Ama"/>
    <s v="Pâtes spaghetti 500 g"/>
    <s v="Alimentaire"/>
    <n v="5"/>
    <n v="450"/>
    <n v="2250"/>
    <s v="Espèces"/>
    <s v="janvier"/>
    <s v="Non"/>
  </r>
  <r>
    <s v="V0039"/>
    <d v="2026-01-23T00:00:00"/>
    <x v="0"/>
    <s v="Afi"/>
    <s v="Pâtes spaghetti 500 g"/>
    <s v="Alimentaire"/>
    <n v="5"/>
    <n v="450"/>
    <n v="2250"/>
    <s v="Espèces"/>
    <s v="janvier"/>
    <s v="Non"/>
  </r>
  <r>
    <s v="V0066"/>
    <d v="2026-02-01T00:00:00"/>
    <x v="1"/>
    <s v="Kofi"/>
    <s v="Pâtes spaghetti 500 g"/>
    <s v="Alimentaire"/>
    <n v="5"/>
    <n v="450"/>
    <n v="2250"/>
    <s v="Espèces"/>
    <s v="février"/>
    <s v="Non"/>
  </r>
  <r>
    <s v="V0070"/>
    <d v="2026-02-03T00:00:00"/>
    <x v="2"/>
    <s v="Essi"/>
    <s v="Pâtes spaghetti 500 g"/>
    <s v="Alimentaire"/>
    <n v="5"/>
    <n v="450"/>
    <n v="2250"/>
    <s v="T-Money"/>
    <s v="février"/>
    <s v="Non"/>
  </r>
  <r>
    <s v="V0147"/>
    <d v="2026-03-13T00:00:00"/>
    <x v="1"/>
    <s v="Ama"/>
    <s v="Pâtes spaghetti 500 g"/>
    <s v="Alimentaire"/>
    <n v="5"/>
    <n v="450"/>
    <n v="2250"/>
    <s v="Espèces"/>
    <s v="mars"/>
    <s v="Non"/>
  </r>
  <r>
    <s v="V0037"/>
    <d v="2026-01-22T00:00:00"/>
    <x v="0"/>
    <s v="Afi"/>
    <s v="Dentifrice"/>
    <s v="Hygiène"/>
    <n v="3"/>
    <n v="700"/>
    <n v="2100"/>
    <s v="T-Money"/>
    <s v="janvier"/>
    <s v="Non"/>
  </r>
  <r>
    <s v="V0048"/>
    <d v="2026-01-26T00:00:00"/>
    <x v="2"/>
    <s v="Komla"/>
    <s v="Dentifrice"/>
    <s v="Hygiène"/>
    <n v="3"/>
    <n v="700"/>
    <n v="2100"/>
    <s v="Flooz"/>
    <s v="janvier"/>
    <s v="Non"/>
  </r>
  <r>
    <s v="V0126"/>
    <d v="2026-03-02T00:00:00"/>
    <x v="0"/>
    <s v="Yawo"/>
    <s v="Dentifrice"/>
    <s v="Hygiène"/>
    <n v="3"/>
    <n v="700"/>
    <n v="2100"/>
    <s v="Espèces"/>
    <s v="mars"/>
    <s v="Non"/>
  </r>
  <r>
    <s v="V0231"/>
    <d v="2026-04-24T00:00:00"/>
    <x v="1"/>
    <s v="Ama"/>
    <s v="Dentifrice"/>
    <s v="Hygiène"/>
    <n v="3"/>
    <n v="700"/>
    <n v="2100"/>
    <s v="T-Money"/>
    <s v="avril"/>
    <s v="Non"/>
  </r>
  <r>
    <s v="V0349"/>
    <d v="2026-06-13T00:00:00"/>
    <x v="2"/>
    <s v="Komla"/>
    <s v="Dentifrice"/>
    <s v="Hygiène"/>
    <n v="3"/>
    <n v="700"/>
    <n v="2100"/>
    <s v="T-Money"/>
    <s v="juin"/>
    <s v="Non"/>
  </r>
  <r>
    <s v="V0011"/>
    <d v="2026-01-08T00:00:00"/>
    <x v="1"/>
    <s v="Kofi"/>
    <s v="Eau minérale 1,5 L"/>
    <s v="Boissons"/>
    <n v="4"/>
    <n v="500"/>
    <n v="2000"/>
    <s v="Espèces"/>
    <s v="janvier"/>
    <s v="Non"/>
  </r>
  <r>
    <s v="V0028"/>
    <d v="2026-01-19T00:00:00"/>
    <x v="2"/>
    <s v="Komla"/>
    <s v="Tomate concentrée"/>
    <s v="Alimentaire"/>
    <n v="5"/>
    <n v="400"/>
    <n v="2000"/>
    <s v="Espèces"/>
    <s v="janvier"/>
    <s v="Non"/>
  </r>
  <r>
    <s v="V0062"/>
    <d v="2026-01-31T00:00:00"/>
    <x v="2"/>
    <s v="Komla"/>
    <s v="Jus de fruit 1 L"/>
    <s v="Boissons"/>
    <n v="2"/>
    <n v="1000"/>
    <n v="2000"/>
    <s v="Espèces"/>
    <s v="janvier"/>
    <s v="Non"/>
  </r>
  <r>
    <s v="V0075"/>
    <d v="2026-02-05T00:00:00"/>
    <x v="0"/>
    <s v="Yawo"/>
    <s v="Tomate concentrée"/>
    <s v="Alimentaire"/>
    <n v="5"/>
    <n v="400"/>
    <n v="2000"/>
    <s v="Espèces"/>
    <s v="février"/>
    <s v="Non"/>
  </r>
  <r>
    <s v="V0091"/>
    <d v="2026-02-10T00:00:00"/>
    <x v="0"/>
    <s v="Afi"/>
    <s v="Jus de fruit 1 L"/>
    <s v="Boissons"/>
    <n v="2"/>
    <n v="1000"/>
    <n v="2000"/>
    <s v="T-Money"/>
    <s v="février"/>
    <s v="Non"/>
  </r>
  <r>
    <s v="V0110"/>
    <d v="2026-02-19T00:00:00"/>
    <x v="0"/>
    <s v="Afi"/>
    <s v="Jus de fruit 1 L"/>
    <s v="Boissons"/>
    <n v="2"/>
    <n v="1000"/>
    <n v="2000"/>
    <s v="T-Money"/>
    <s v="février"/>
    <s v="Non"/>
  </r>
  <r>
    <s v="V0124"/>
    <d v="2026-03-01T00:00:00"/>
    <x v="1"/>
    <s v="Ama"/>
    <s v="Tomate concentrée"/>
    <s v="Alimentaire"/>
    <n v="5"/>
    <n v="400"/>
    <n v="2000"/>
    <s v="T-Money"/>
    <s v="mars"/>
    <s v="Non"/>
  </r>
  <r>
    <s v="V0139"/>
    <d v="2026-03-11T00:00:00"/>
    <x v="0"/>
    <s v="Afi"/>
    <s v="Jus de fruit 1 L"/>
    <s v="Boissons"/>
    <n v="2"/>
    <n v="1000"/>
    <n v="2000"/>
    <s v="Espèces"/>
    <s v="mars"/>
    <s v="Non"/>
  </r>
  <r>
    <s v="V0175"/>
    <d v="2026-03-29T00:00:00"/>
    <x v="1"/>
    <s v="Ama"/>
    <s v="Boisson gazeuse 50 cl"/>
    <s v="Boissons"/>
    <n v="5"/>
    <n v="400"/>
    <n v="2000"/>
    <s v="Espèces"/>
    <s v="mars"/>
    <s v="Non"/>
  </r>
  <r>
    <s v="V0213"/>
    <d v="2026-04-16T00:00:00"/>
    <x v="0"/>
    <s v="Afi"/>
    <s v="Eau minérale 1,5 L"/>
    <s v="Boissons"/>
    <n v="4"/>
    <n v="500"/>
    <n v="2000"/>
    <s v="T-Money"/>
    <s v="avril"/>
    <s v="Non"/>
  </r>
  <r>
    <s v="V0215"/>
    <d v="2026-04-18T00:00:00"/>
    <x v="2"/>
    <s v="Komla"/>
    <s v="Jus de fruit 1 L"/>
    <s v="Boissons"/>
    <n v="2"/>
    <n v="1000"/>
    <n v="2000"/>
    <s v="Espèces"/>
    <s v="avril"/>
    <s v="Non"/>
  </r>
  <r>
    <s v="V0218"/>
    <d v="2026-04-19T00:00:00"/>
    <x v="2"/>
    <s v="Komla"/>
    <s v="Eau minérale 1,5 L"/>
    <s v="Boissons"/>
    <n v="4"/>
    <n v="500"/>
    <n v="2000"/>
    <s v="Espèces"/>
    <s v="avril"/>
    <s v="Non"/>
  </r>
  <r>
    <s v="V0227"/>
    <d v="2026-04-23T00:00:00"/>
    <x v="1"/>
    <s v="Ama"/>
    <s v="Jus de fruit 1 L"/>
    <s v="Boissons"/>
    <n v="2"/>
    <n v="1000"/>
    <n v="2000"/>
    <s v="T-Money"/>
    <s v="avril"/>
    <s v="Non"/>
  </r>
  <r>
    <s v="V0234"/>
    <d v="2026-04-25T00:00:00"/>
    <x v="1"/>
    <s v="Kofi"/>
    <s v="Tomate concentrée"/>
    <s v="Alimentaire"/>
    <n v="5"/>
    <n v="400"/>
    <n v="2000"/>
    <s v="Flooz"/>
    <s v="avril"/>
    <s v="Non"/>
  </r>
  <r>
    <s v="V0243"/>
    <d v="2026-04-29T00:00:00"/>
    <x v="2"/>
    <s v="Essi"/>
    <s v="Jus de fruit 1 L"/>
    <s v="Boissons"/>
    <n v="2"/>
    <n v="1000"/>
    <n v="2000"/>
    <s v="T-Money"/>
    <s v="avril"/>
    <s v="Non"/>
  </r>
  <r>
    <s v="V0335"/>
    <d v="2026-06-08T00:00:00"/>
    <x v="1"/>
    <s v="Kofi"/>
    <s v="Tomate concentrée"/>
    <s v="Alimentaire"/>
    <n v="5"/>
    <n v="400"/>
    <n v="2000"/>
    <s v="T-Money"/>
    <s v="juin"/>
    <s v="Non"/>
  </r>
  <r>
    <s v="V0003"/>
    <d v="2026-01-03T00:00:00"/>
    <x v="0"/>
    <s v="Yawo"/>
    <s v="Bougies (lot de 6)"/>
    <s v="Épicerie"/>
    <n v="3"/>
    <n v="600"/>
    <n v="1800"/>
    <s v="Espèces"/>
    <s v="janvier"/>
    <s v="Non"/>
  </r>
  <r>
    <s v="V0005"/>
    <d v="2026-01-05T00:00:00"/>
    <x v="1"/>
    <s v="Ama"/>
    <s v="Pâtes spaghetti 500 g"/>
    <s v="Alimentaire"/>
    <n v="4"/>
    <n v="450"/>
    <n v="1800"/>
    <s v="T-Money"/>
    <s v="janvier"/>
    <s v="Non"/>
  </r>
  <r>
    <s v="V0140"/>
    <d v="2026-03-11T00:00:00"/>
    <x v="2"/>
    <s v="Essi"/>
    <s v="Bougies (lot de 6)"/>
    <s v="Épicerie"/>
    <n v="3"/>
    <n v="600"/>
    <n v="1800"/>
    <s v="Espèces"/>
    <s v="mars"/>
    <s v="Non"/>
  </r>
  <r>
    <s v="V0145"/>
    <d v="2026-03-12T00:00:00"/>
    <x v="0"/>
    <s v="Yawo"/>
    <s v="Savon de toilette"/>
    <s v="Hygiène"/>
    <n v="6"/>
    <n v="300"/>
    <n v="1800"/>
    <s v="Espèces"/>
    <s v="mars"/>
    <s v="Non"/>
  </r>
  <r>
    <s v="V0168"/>
    <d v="2026-03-27T00:00:00"/>
    <x v="1"/>
    <s v="Kofi"/>
    <s v="Bougies (lot de 6)"/>
    <s v="Épicerie"/>
    <n v="3"/>
    <n v="600"/>
    <n v="1800"/>
    <s v="Espèces"/>
    <s v="mars"/>
    <s v="Non"/>
  </r>
  <r>
    <s v="V0202"/>
    <d v="2026-04-12T00:00:00"/>
    <x v="2"/>
    <s v="Essi"/>
    <s v="Pâtes spaghetti 500 g"/>
    <s v="Alimentaire"/>
    <n v="4"/>
    <n v="450"/>
    <n v="1800"/>
    <s v="Flooz"/>
    <s v="avril"/>
    <s v="Non"/>
  </r>
  <r>
    <s v="V0223"/>
    <d v="2026-04-22T00:00:00"/>
    <x v="1"/>
    <s v="Ama"/>
    <s v="Savon de toilette"/>
    <s v="Hygiène"/>
    <n v="6"/>
    <n v="300"/>
    <n v="1800"/>
    <s v="T-Money"/>
    <s v="avril"/>
    <s v="Non"/>
  </r>
  <r>
    <s v="V0276"/>
    <d v="2026-05-16T00:00:00"/>
    <x v="2"/>
    <s v="Komla"/>
    <s v="Bougies (lot de 6)"/>
    <s v="Épicerie"/>
    <n v="3"/>
    <n v="600"/>
    <n v="1800"/>
    <s v="Espèces"/>
    <s v="mai"/>
    <s v="Non"/>
  </r>
  <r>
    <s v="V0302"/>
    <d v="2026-05-25T00:00:00"/>
    <x v="1"/>
    <s v="Ama"/>
    <s v="Lessive 500 g"/>
    <s v="Hygiène"/>
    <n v="2"/>
    <n v="900"/>
    <n v="1800"/>
    <s v="T-Money"/>
    <s v="mai"/>
    <s v="Non"/>
  </r>
  <r>
    <s v="V0318"/>
    <d v="2026-05-31T00:00:00"/>
    <x v="0"/>
    <s v="Afi"/>
    <s v="Lessive 500 g"/>
    <s v="Hygiène"/>
    <n v="2"/>
    <n v="900"/>
    <n v="1800"/>
    <s v="Espèces"/>
    <s v="mai"/>
    <s v="Non"/>
  </r>
  <r>
    <s v="V0341"/>
    <d v="2026-06-10T00:00:00"/>
    <x v="1"/>
    <s v="Kofi"/>
    <s v="Lessive 500 g"/>
    <s v="Hygiène"/>
    <n v="2"/>
    <n v="900"/>
    <n v="1800"/>
    <s v="Flooz"/>
    <s v="juin"/>
    <s v="Non"/>
  </r>
  <r>
    <s v="V0348"/>
    <d v="2026-06-13T00:00:00"/>
    <x v="1"/>
    <s v="Kofi"/>
    <s v="Lessive 500 g"/>
    <s v="Hygiène"/>
    <n v="2"/>
    <n v="900"/>
    <n v="1800"/>
    <s v="Espèces"/>
    <s v="juin"/>
    <s v="Non"/>
  </r>
  <r>
    <s v="V0393"/>
    <d v="2026-06-28T00:00:00"/>
    <x v="0"/>
    <s v="Yawo"/>
    <s v="Pâtes spaghetti 500 g"/>
    <s v="Alimentaire"/>
    <n v="4"/>
    <n v="450"/>
    <n v="1800"/>
    <s v="T-Money"/>
    <s v="juin"/>
    <s v="Non"/>
  </r>
  <r>
    <s v="V0007"/>
    <d v="2026-01-05T00:00:00"/>
    <x v="0"/>
    <s v="Afi"/>
    <s v="Sucre 1 kg"/>
    <s v="Alimentaire"/>
    <n v="2"/>
    <n v="800"/>
    <n v="1600"/>
    <s v="Espèces"/>
    <s v="janvier"/>
    <s v="Non"/>
  </r>
  <r>
    <s v="V0096"/>
    <d v="2026-02-13T00:00:00"/>
    <x v="2"/>
    <s v="Essi"/>
    <s v="Sucre 1 kg"/>
    <s v="Alimentaire"/>
    <n v="2"/>
    <n v="800"/>
    <n v="1600"/>
    <s v="Espèces"/>
    <s v="février"/>
    <s v="Non"/>
  </r>
  <r>
    <s v="V0136"/>
    <d v="2026-03-09T00:00:00"/>
    <x v="2"/>
    <s v="Komla"/>
    <s v="Sucre 1 kg"/>
    <s v="Alimentaire"/>
    <n v="2"/>
    <n v="800"/>
    <n v="1600"/>
    <s v="Espèces"/>
    <s v="mars"/>
    <s v="Non"/>
  </r>
  <r>
    <s v="V0196"/>
    <d v="2026-04-10T00:00:00"/>
    <x v="0"/>
    <s v="Afi"/>
    <s v="Tomate concentrée"/>
    <s v="Alimentaire"/>
    <n v="4"/>
    <n v="400"/>
    <n v="1600"/>
    <s v="T-Money"/>
    <s v="avril"/>
    <s v="Non"/>
  </r>
  <r>
    <s v="V0242"/>
    <d v="2026-04-29T00:00:00"/>
    <x v="1"/>
    <s v="Kofi"/>
    <s v="Tomate concentrée"/>
    <s v="Alimentaire"/>
    <n v="4"/>
    <n v="400"/>
    <n v="1600"/>
    <s v="Espèces"/>
    <s v="avril"/>
    <s v="Non"/>
  </r>
  <r>
    <s v="V0266"/>
    <d v="2026-05-09T00:00:00"/>
    <x v="2"/>
    <s v="Essi"/>
    <s v="Sucre 1 kg"/>
    <s v="Alimentaire"/>
    <n v="2"/>
    <n v="800"/>
    <n v="1600"/>
    <s v="T-Money"/>
    <s v="mai"/>
    <s v="Non"/>
  </r>
  <r>
    <s v="V0284"/>
    <d v="2026-05-19T00:00:00"/>
    <x v="1"/>
    <s v="Kofi"/>
    <s v="Sucre 1 kg"/>
    <s v="Alimentaire"/>
    <n v="2"/>
    <n v="800"/>
    <n v="1600"/>
    <s v="Espèces"/>
    <s v="mai"/>
    <s v="Non"/>
  </r>
  <r>
    <s v="V0296"/>
    <d v="2026-05-23T00:00:00"/>
    <x v="2"/>
    <s v="Essi"/>
    <s v="Sucre 1 kg"/>
    <s v="Alimentaire"/>
    <n v="2"/>
    <n v="800"/>
    <n v="1600"/>
    <s v="Espèces"/>
    <s v="mai"/>
    <s v="Non"/>
  </r>
  <r>
    <s v="V0301"/>
    <d v="2026-05-24T00:00:00"/>
    <x v="0"/>
    <s v="Afi"/>
    <s v="Boisson gazeuse 50 cl"/>
    <s v="Boissons"/>
    <n v="4"/>
    <n v="400"/>
    <n v="1600"/>
    <s v="Espèces"/>
    <s v="mai"/>
    <s v="Non"/>
  </r>
  <r>
    <s v="V0347"/>
    <d v="2026-06-12T00:00:00"/>
    <x v="2"/>
    <s v="Essi"/>
    <s v="Sucre 1 kg"/>
    <s v="Alimentaire"/>
    <n v="2"/>
    <n v="800"/>
    <n v="1600"/>
    <s v="T-Money"/>
    <s v="juin"/>
    <s v="Non"/>
  </r>
  <r>
    <s v="V0022"/>
    <d v="2026-01-14T00:00:00"/>
    <x v="1"/>
    <s v="Ama"/>
    <s v="Savon de toilette"/>
    <s v="Hygiène"/>
    <n v="5"/>
    <n v="300"/>
    <n v="1500"/>
    <s v="T-Money"/>
    <s v="janvier"/>
    <s v="Non"/>
  </r>
  <r>
    <s v="V0054"/>
    <d v="2026-01-28T00:00:00"/>
    <x v="0"/>
    <s v="Afi"/>
    <s v="Huile végétale 1 L"/>
    <s v="Alimentaire"/>
    <n v="1"/>
    <n v="1500"/>
    <n v="1500"/>
    <s v="Espèces"/>
    <s v="janvier"/>
    <s v="Non"/>
  </r>
  <r>
    <s v="V0067"/>
    <d v="2026-02-02T00:00:00"/>
    <x v="2"/>
    <s v="Essi"/>
    <s v="Huile végétale 1 L"/>
    <s v="Alimentaire"/>
    <n v="1"/>
    <n v="1500"/>
    <n v="1500"/>
    <s v="Espèces"/>
    <s v="février"/>
    <s v="Non"/>
  </r>
  <r>
    <s v="V0083"/>
    <d v="2026-02-08T00:00:00"/>
    <x v="1"/>
    <s v="Ama"/>
    <s v="Huile végétale 1 L"/>
    <s v="Alimentaire"/>
    <n v="1"/>
    <n v="1500"/>
    <n v="1500"/>
    <s v="Flooz"/>
    <s v="février"/>
    <s v="Non"/>
  </r>
  <r>
    <s v="V0086"/>
    <d v="2026-02-09T00:00:00"/>
    <x v="2"/>
    <s v="Essi"/>
    <s v="Huile végétale 1 L"/>
    <s v="Alimentaire"/>
    <n v="1"/>
    <n v="1500"/>
    <n v="1500"/>
    <s v="T-Money"/>
    <s v="février"/>
    <s v="Non"/>
  </r>
  <r>
    <s v="V0102"/>
    <d v="2026-02-16T00:00:00"/>
    <x v="1"/>
    <s v="Ama"/>
    <s v="Huile végétale 1 L"/>
    <s v="Alimentaire"/>
    <n v="1"/>
    <n v="1500"/>
    <n v="1500"/>
    <s v="T-Money"/>
    <s v="février"/>
    <s v="Non"/>
  </r>
  <r>
    <s v="V0143"/>
    <d v="2026-03-12T00:00:00"/>
    <x v="2"/>
    <s v="Essi"/>
    <s v="Huile végétale 1 L"/>
    <s v="Alimentaire"/>
    <n v="1"/>
    <n v="1500"/>
    <n v="1500"/>
    <s v="Espèces"/>
    <s v="mars"/>
    <s v="Non"/>
  </r>
  <r>
    <s v="V0148"/>
    <d v="2026-03-14T00:00:00"/>
    <x v="2"/>
    <s v="Essi"/>
    <s v="Huile végétale 1 L"/>
    <s v="Alimentaire"/>
    <n v="1"/>
    <n v="1500"/>
    <n v="1500"/>
    <s v="T-Money"/>
    <s v="mars"/>
    <s v="Non"/>
  </r>
  <r>
    <s v="V0184"/>
    <d v="2026-04-04T00:00:00"/>
    <x v="2"/>
    <s v="Komla"/>
    <s v="Huile végétale 1 L"/>
    <s v="Alimentaire"/>
    <n v="1"/>
    <n v="1500"/>
    <n v="1500"/>
    <s v="Espèces"/>
    <s v="avril"/>
    <s v="Non"/>
  </r>
  <r>
    <s v="V0217"/>
    <d v="2026-04-19T00:00:00"/>
    <x v="1"/>
    <s v="Kofi"/>
    <s v="Huile végétale 1 L"/>
    <s v="Alimentaire"/>
    <n v="1"/>
    <n v="1500"/>
    <n v="1500"/>
    <s v="Espèces"/>
    <s v="avril"/>
    <s v="Non"/>
  </r>
  <r>
    <s v="V0220"/>
    <d v="2026-04-20T00:00:00"/>
    <x v="2"/>
    <s v="Komla"/>
    <s v="Huile végétale 1 L"/>
    <s v="Alimentaire"/>
    <n v="1"/>
    <n v="1500"/>
    <n v="1500"/>
    <s v="Flooz"/>
    <s v="avril"/>
    <s v="Non"/>
  </r>
  <r>
    <s v="V0226"/>
    <d v="2026-04-23T00:00:00"/>
    <x v="2"/>
    <s v="Essi"/>
    <s v="Huile végétale 1 L"/>
    <s v="Alimentaire"/>
    <n v="1"/>
    <n v="1500"/>
    <n v="1500"/>
    <s v="Flooz"/>
    <s v="avril"/>
    <s v="Non"/>
  </r>
  <r>
    <s v="V0289"/>
    <d v="2026-05-21T00:00:00"/>
    <x v="1"/>
    <s v="Ama"/>
    <s v="Huile végétale 1 L"/>
    <s v="Alimentaire"/>
    <n v="1"/>
    <n v="1500"/>
    <n v="1500"/>
    <s v="Espèces"/>
    <s v="mai"/>
    <s v="Non"/>
  </r>
  <r>
    <s v="V0290"/>
    <d v="2026-05-21T00:00:00"/>
    <x v="2"/>
    <s v="Essi"/>
    <s v="Huile végétale 1 L"/>
    <s v="Alimentaire"/>
    <n v="1"/>
    <n v="1500"/>
    <n v="1500"/>
    <s v="Espèces"/>
    <s v="mai"/>
    <s v="Non"/>
  </r>
  <r>
    <s v="V0327"/>
    <d v="2026-06-04T00:00:00"/>
    <x v="0"/>
    <s v="Yawo"/>
    <s v="Huile végétale 1 L"/>
    <s v="Alimentaire"/>
    <n v="1"/>
    <n v="1500"/>
    <n v="1500"/>
    <s v="Flooz"/>
    <s v="juin"/>
    <s v="Non"/>
  </r>
  <r>
    <s v="V0328"/>
    <d v="2026-06-05T00:00:00"/>
    <x v="2"/>
    <s v="Komla"/>
    <s v="Biscuits"/>
    <s v="Épicerie"/>
    <n v="6"/>
    <n v="250"/>
    <n v="1500"/>
    <s v="Espèces"/>
    <s v="juin"/>
    <s v="Non"/>
  </r>
  <r>
    <s v="V0345"/>
    <d v="2026-06-11T00:00:00"/>
    <x v="1"/>
    <s v="Kofi"/>
    <s v="Huile végétale 1 L"/>
    <s v="Alimentaire"/>
    <n v="1"/>
    <n v="1500"/>
    <n v="1500"/>
    <s v="Flooz"/>
    <s v="juin"/>
    <s v="Non"/>
  </r>
  <r>
    <s v="V0346"/>
    <d v="2026-06-11T00:00:00"/>
    <x v="2"/>
    <s v="Essi"/>
    <s v="Huile végétale 1 L"/>
    <s v="Alimentaire"/>
    <n v="1"/>
    <n v="1500"/>
    <n v="1500"/>
    <s v="Espèces"/>
    <s v="juin"/>
    <s v="Non"/>
  </r>
  <r>
    <s v="V0357"/>
    <d v="2026-06-15T00:00:00"/>
    <x v="1"/>
    <s v="Kofi"/>
    <s v="Huile végétale 1 L"/>
    <s v="Alimentaire"/>
    <n v="1"/>
    <n v="1500"/>
    <n v="1500"/>
    <s v="Espèces"/>
    <s v="juin"/>
    <s v="Non"/>
  </r>
  <r>
    <s v="V0361"/>
    <d v="2026-06-16T00:00:00"/>
    <x v="0"/>
    <s v="Yawo"/>
    <s v="Huile végétale 1 L"/>
    <s v="Alimentaire"/>
    <n v="1"/>
    <n v="1500"/>
    <n v="1500"/>
    <s v="T-Money"/>
    <s v="juin"/>
    <s v="Non"/>
  </r>
  <r>
    <s v="V0383"/>
    <d v="2026-06-24T00:00:00"/>
    <x v="2"/>
    <s v="Essi"/>
    <s v="Savon de toilette"/>
    <s v="Hygiène"/>
    <n v="5"/>
    <n v="300"/>
    <n v="1500"/>
    <s v="Espèces"/>
    <s v="juin"/>
    <s v="Non"/>
  </r>
  <r>
    <s v="V0387"/>
    <d v="2026-06-26T00:00:00"/>
    <x v="1"/>
    <s v="Ama"/>
    <s v="Eau minérale 1,5 L"/>
    <s v="Boissons"/>
    <n v="3"/>
    <n v="500"/>
    <n v="1500"/>
    <s v="Espèces"/>
    <s v="juin"/>
    <s v="Non"/>
  </r>
  <r>
    <s v="V0390"/>
    <d v="2026-06-26T00:00:00"/>
    <x v="2"/>
    <s v="Komla"/>
    <s v="Savon de toilette"/>
    <s v="Hygiène"/>
    <n v="5"/>
    <n v="300"/>
    <n v="1500"/>
    <s v="Espèces"/>
    <s v="juin"/>
    <s v="Non"/>
  </r>
  <r>
    <s v="V0013"/>
    <d v="2026-01-11T00:00:00"/>
    <x v="0"/>
    <s v="Yawo"/>
    <s v="Dentifrice"/>
    <s v="Hygiène"/>
    <n v="2"/>
    <n v="700"/>
    <n v="1400"/>
    <s v="T-Money"/>
    <s v="janvier"/>
    <s v="Non"/>
  </r>
  <r>
    <s v="V0035"/>
    <d v="2026-01-21T00:00:00"/>
    <x v="0"/>
    <s v="Afi"/>
    <s v="Dentifrice"/>
    <s v="Hygiène"/>
    <n v="2"/>
    <n v="700"/>
    <n v="1400"/>
    <s v="T-Money"/>
    <s v="janvier"/>
    <s v="Non"/>
  </r>
  <r>
    <s v="V0064"/>
    <d v="2026-02-01T00:00:00"/>
    <x v="0"/>
    <s v="Yawo"/>
    <s v="Dentifrice"/>
    <s v="Hygiène"/>
    <n v="2"/>
    <n v="700"/>
    <n v="1400"/>
    <s v="T-Money"/>
    <s v="février"/>
    <s v="Non"/>
  </r>
  <r>
    <s v="V0105"/>
    <d v="2026-02-17T00:00:00"/>
    <x v="1"/>
    <s v="Kofi"/>
    <s v="Dentifrice"/>
    <s v="Hygiène"/>
    <n v="2"/>
    <n v="700"/>
    <n v="1400"/>
    <s v="Espèces"/>
    <s v="février"/>
    <s v="Non"/>
  </r>
  <r>
    <s v="V0142"/>
    <d v="2026-03-12T00:00:00"/>
    <x v="2"/>
    <s v="Essi"/>
    <s v="Dentifrice"/>
    <s v="Hygiène"/>
    <n v="2"/>
    <n v="700"/>
    <n v="1400"/>
    <s v="Espèces"/>
    <s v="mars"/>
    <s v="Non"/>
  </r>
  <r>
    <s v="V0163"/>
    <d v="2026-03-22T00:00:00"/>
    <x v="0"/>
    <s v="Afi"/>
    <s v="Dentifrice"/>
    <s v="Hygiène"/>
    <n v="2"/>
    <n v="700"/>
    <n v="1400"/>
    <s v="Espèces"/>
    <s v="mars"/>
    <s v="Non"/>
  </r>
  <r>
    <s v="V0344"/>
    <d v="2026-06-10T00:00:00"/>
    <x v="2"/>
    <s v="Essi"/>
    <s v="Dentifrice"/>
    <s v="Hygiène"/>
    <n v="2"/>
    <n v="700"/>
    <n v="1400"/>
    <s v="Espèces"/>
    <s v="juin"/>
    <s v="Non"/>
  </r>
  <r>
    <s v="V0396"/>
    <d v="2026-06-29T00:00:00"/>
    <x v="0"/>
    <s v="Yawo"/>
    <s v="Dentifrice"/>
    <s v="Hygiène"/>
    <n v="2"/>
    <n v="700"/>
    <n v="1400"/>
    <s v="Flooz"/>
    <s v="juin"/>
    <s v="Non"/>
  </r>
  <r>
    <s v="V0063"/>
    <d v="2026-02-01T00:00:00"/>
    <x v="0"/>
    <s v="Yawo"/>
    <s v="Biscuits"/>
    <s v="Épicerie"/>
    <n v="5"/>
    <n v="250"/>
    <n v="1250"/>
    <s v="T-Money"/>
    <s v="février"/>
    <s v="Non"/>
  </r>
  <r>
    <s v="V0251"/>
    <d v="2026-05-01T00:00:00"/>
    <x v="2"/>
    <s v="Komla"/>
    <s v="Biscuits"/>
    <s v="Épicerie"/>
    <n v="5"/>
    <n v="250"/>
    <n v="1250"/>
    <s v="Espèces"/>
    <s v="mai"/>
    <s v="Non"/>
  </r>
  <r>
    <s v="V0299"/>
    <d v="2026-05-24T00:00:00"/>
    <x v="2"/>
    <s v="Essi"/>
    <s v="Biscuits"/>
    <s v="Épicerie"/>
    <n v="5"/>
    <n v="250"/>
    <n v="1250"/>
    <s v="T-Money"/>
    <s v="mai"/>
    <s v="Non"/>
  </r>
  <r>
    <s v="V0355"/>
    <d v="2026-06-15T00:00:00"/>
    <x v="1"/>
    <s v="Ama"/>
    <s v="Biscuits"/>
    <s v="Épicerie"/>
    <n v="5"/>
    <n v="250"/>
    <n v="1250"/>
    <s v="Espèces"/>
    <s v="juin"/>
    <s v="Non"/>
  </r>
  <r>
    <s v="V0020"/>
    <d v="2026-01-14T00:00:00"/>
    <x v="1"/>
    <s v="Ama"/>
    <s v="Piles AA (lot de 4)"/>
    <s v="Épicerie"/>
    <n v="1"/>
    <n v="1200"/>
    <n v="1200"/>
    <s v="Espèces"/>
    <s v="janvier"/>
    <s v="Non"/>
  </r>
  <r>
    <s v="V0034"/>
    <d v="2026-01-20T00:00:00"/>
    <x v="2"/>
    <s v="Komla"/>
    <s v="Boisson gazeuse 50 cl"/>
    <s v="Boissons"/>
    <n v="3"/>
    <n v="400"/>
    <n v="1200"/>
    <s v="Espèces"/>
    <s v="janvier"/>
    <s v="Non"/>
  </r>
  <r>
    <s v="V0051"/>
    <d v="2026-01-28T00:00:00"/>
    <x v="2"/>
    <s v="Komla"/>
    <s v="Bougies (lot de 6)"/>
    <s v="Épicerie"/>
    <n v="2"/>
    <n v="600"/>
    <n v="1200"/>
    <s v="Espèces"/>
    <s v="janvier"/>
    <s v="Non"/>
  </r>
  <r>
    <s v="V0056"/>
    <d v="2026-01-28T00:00:00"/>
    <x v="0"/>
    <s v="Yawo"/>
    <s v="Bougies (lot de 6)"/>
    <s v="Épicerie"/>
    <n v="2"/>
    <n v="600"/>
    <n v="1200"/>
    <s v="T-Money"/>
    <s v="janvier"/>
    <s v="Non"/>
  </r>
  <r>
    <s v="V0097"/>
    <d v="2026-02-14T00:00:00"/>
    <x v="0"/>
    <s v="Afi"/>
    <s v="Bougies (lot de 6)"/>
    <s v="Épicerie"/>
    <n v="2"/>
    <n v="600"/>
    <n v="1200"/>
    <s v="Espèces"/>
    <s v="février"/>
    <s v="Non"/>
  </r>
  <r>
    <s v="V0099"/>
    <d v="2026-02-14T00:00:00"/>
    <x v="0"/>
    <s v="Afi"/>
    <s v="Boisson gazeuse 50 cl"/>
    <s v="Boissons"/>
    <n v="3"/>
    <n v="400"/>
    <n v="1200"/>
    <s v="T-Money"/>
    <s v="février"/>
    <s v="Non"/>
  </r>
  <r>
    <s v="V0112"/>
    <d v="2026-02-21T00:00:00"/>
    <x v="1"/>
    <s v="Ama"/>
    <s v="Bougies (lot de 6)"/>
    <s v="Épicerie"/>
    <n v="2"/>
    <n v="600"/>
    <n v="1200"/>
    <s v="Espèces"/>
    <s v="février"/>
    <s v="Non"/>
  </r>
  <r>
    <s v="V0116"/>
    <d v="2026-02-24T00:00:00"/>
    <x v="1"/>
    <s v="Ama"/>
    <s v="Tomate concentrée"/>
    <s v="Alimentaire"/>
    <n v="3"/>
    <n v="400"/>
    <n v="1200"/>
    <s v="Espèces"/>
    <s v="février"/>
    <s v="Non"/>
  </r>
  <r>
    <s v="V0123"/>
    <d v="2026-02-27T00:00:00"/>
    <x v="0"/>
    <s v="Afi"/>
    <s v="Piles AA (lot de 4)"/>
    <s v="Épicerie"/>
    <n v="1"/>
    <n v="1200"/>
    <n v="1200"/>
    <s v="Espèces"/>
    <s v="février"/>
    <s v="Non"/>
  </r>
  <r>
    <s v="V0131"/>
    <d v="2026-03-06T00:00:00"/>
    <x v="0"/>
    <s v="Yawo"/>
    <s v="Piles AA (lot de 4)"/>
    <s v="Épicerie"/>
    <n v="1"/>
    <n v="1200"/>
    <n v="1200"/>
    <s v="Espèces"/>
    <s v="mars"/>
    <s v="Non"/>
  </r>
  <r>
    <s v="V0135"/>
    <d v="2026-03-09T00:00:00"/>
    <x v="1"/>
    <s v="Kofi"/>
    <s v="Savon de toilette"/>
    <s v="Hygiène"/>
    <n v="4"/>
    <n v="300"/>
    <n v="1200"/>
    <s v="Espèces"/>
    <s v="mars"/>
    <s v="Non"/>
  </r>
  <r>
    <s v="V0164"/>
    <d v="2026-03-24T00:00:00"/>
    <x v="1"/>
    <s v="Kofi"/>
    <s v="Savon de toilette"/>
    <s v="Hygiène"/>
    <n v="4"/>
    <n v="300"/>
    <n v="1200"/>
    <s v="Espèces"/>
    <s v="mars"/>
    <s v="Non"/>
  </r>
  <r>
    <s v="V0167"/>
    <d v="2026-03-27T00:00:00"/>
    <x v="0"/>
    <s v="Yawo"/>
    <s v="Piles AA (lot de 4)"/>
    <s v="Épicerie"/>
    <n v="1"/>
    <n v="1200"/>
    <n v="1200"/>
    <s v="Espèces"/>
    <s v="mars"/>
    <s v="Non"/>
  </r>
  <r>
    <s v="V0185"/>
    <d v="2026-04-04T00:00:00"/>
    <x v="2"/>
    <s v="Essi"/>
    <s v="Piles AA (lot de 4)"/>
    <s v="Épicerie"/>
    <n v="1"/>
    <n v="1200"/>
    <n v="1200"/>
    <s v="Espèces"/>
    <s v="avril"/>
    <s v="Non"/>
  </r>
  <r>
    <s v="V0204"/>
    <d v="2026-04-12T00:00:00"/>
    <x v="0"/>
    <s v="Yawo"/>
    <s v="Bougies (lot de 6)"/>
    <s v="Épicerie"/>
    <n v="2"/>
    <n v="600"/>
    <n v="1200"/>
    <s v="Flooz"/>
    <s v="avril"/>
    <s v="Non"/>
  </r>
  <r>
    <s v="V0209"/>
    <d v="2026-04-15T00:00:00"/>
    <x v="1"/>
    <s v="Kofi"/>
    <s v="Piles AA (lot de 4)"/>
    <s v="Épicerie"/>
    <n v="1"/>
    <n v="1200"/>
    <n v="1200"/>
    <s v="Espèces"/>
    <s v="avril"/>
    <s v="Non"/>
  </r>
  <r>
    <s v="V0240"/>
    <d v="2026-04-28T00:00:00"/>
    <x v="0"/>
    <s v="Afi"/>
    <s v="Piles AA (lot de 4)"/>
    <s v="Épicerie"/>
    <n v="1"/>
    <n v="1200"/>
    <n v="1200"/>
    <s v="Espèces"/>
    <s v="avril"/>
    <s v="Non"/>
  </r>
  <r>
    <s v="V0272"/>
    <d v="2026-05-12T00:00:00"/>
    <x v="0"/>
    <s v="Afi"/>
    <s v="Bougies (lot de 6)"/>
    <s v="Épicerie"/>
    <n v="2"/>
    <n v="600"/>
    <n v="1200"/>
    <s v="Espèces"/>
    <s v="mai"/>
    <s v="Non"/>
  </r>
  <r>
    <s v="V0291"/>
    <d v="2026-05-21T00:00:00"/>
    <x v="2"/>
    <s v="Essi"/>
    <s v="Bougies (lot de 6)"/>
    <s v="Épicerie"/>
    <n v="2"/>
    <n v="600"/>
    <n v="1200"/>
    <s v="Flooz"/>
    <s v="mai"/>
    <s v="Non"/>
  </r>
  <r>
    <s v="V0303"/>
    <d v="2026-05-25T00:00:00"/>
    <x v="0"/>
    <s v="Afi"/>
    <s v="Piles AA (lot de 4)"/>
    <s v="Épicerie"/>
    <n v="1"/>
    <n v="1200"/>
    <n v="1200"/>
    <s v="Espèces"/>
    <s v="mai"/>
    <s v="Non"/>
  </r>
  <r>
    <s v="V0313"/>
    <d v="2026-05-29T00:00:00"/>
    <x v="2"/>
    <s v="Essi"/>
    <s v="Piles AA (lot de 4)"/>
    <s v="Épicerie"/>
    <n v="1"/>
    <n v="1200"/>
    <n v="1200"/>
    <s v="Espèces"/>
    <s v="mai"/>
    <s v="Non"/>
  </r>
  <r>
    <s v="V0316"/>
    <d v="2026-05-30T00:00:00"/>
    <x v="2"/>
    <s v="Essi"/>
    <s v="Bougies (lot de 6)"/>
    <s v="Épicerie"/>
    <n v="2"/>
    <n v="600"/>
    <n v="1200"/>
    <s v="Espèces"/>
    <s v="mai"/>
    <s v="Non"/>
  </r>
  <r>
    <s v="V0324"/>
    <d v="2026-06-02T00:00:00"/>
    <x v="1"/>
    <s v="Ama"/>
    <s v="Piles AA (lot de 4)"/>
    <s v="Épicerie"/>
    <n v="1"/>
    <n v="1200"/>
    <n v="1200"/>
    <s v="Flooz"/>
    <s v="juin"/>
    <s v="Non"/>
  </r>
  <r>
    <s v="V0334"/>
    <d v="2026-06-07T00:00:00"/>
    <x v="0"/>
    <s v="Yawo"/>
    <s v="Piles AA (lot de 4)"/>
    <s v="Épicerie"/>
    <n v="1"/>
    <n v="1200"/>
    <n v="1200"/>
    <s v="T-Money"/>
    <s v="juin"/>
    <s v="Non"/>
  </r>
  <r>
    <s v="V0354"/>
    <d v="2026-06-15T00:00:00"/>
    <x v="1"/>
    <s v="Ama"/>
    <s v="Piles AA (lot de 4)"/>
    <s v="Épicerie"/>
    <n v="1"/>
    <n v="1200"/>
    <n v="1200"/>
    <s v="Espèces"/>
    <s v="juin"/>
    <s v="Non"/>
  </r>
  <r>
    <s v="V0363"/>
    <d v="2026-06-17T00:00:00"/>
    <x v="1"/>
    <s v="Ama"/>
    <s v="Savon de toilette"/>
    <s v="Hygiène"/>
    <n v="4"/>
    <n v="300"/>
    <n v="1200"/>
    <s v="Flooz"/>
    <s v="juin"/>
    <s v="Non"/>
  </r>
  <r>
    <s v="V0388"/>
    <d v="2026-06-26T00:00:00"/>
    <x v="1"/>
    <s v="Kofi"/>
    <s v="Piles AA (lot de 4)"/>
    <s v="Épicerie"/>
    <n v="1"/>
    <n v="1200"/>
    <n v="1200"/>
    <s v="Espèces"/>
    <s v="juin"/>
    <s v="Non"/>
  </r>
  <r>
    <s v="V0001"/>
    <d v="2026-01-02T00:00:00"/>
    <x v="0"/>
    <s v="Afi"/>
    <s v="Biscuits"/>
    <s v="Épicerie"/>
    <n v="4"/>
    <n v="250"/>
    <n v="1000"/>
    <s v="Flooz"/>
    <s v="janvier"/>
    <s v="Non"/>
  </r>
  <r>
    <s v="V0014"/>
    <d v="2026-01-11T00:00:00"/>
    <x v="0"/>
    <s v="Yawo"/>
    <s v="Jus de fruit 1 L"/>
    <s v="Boissons"/>
    <n v="1"/>
    <n v="1000"/>
    <n v="1000"/>
    <s v="Flooz"/>
    <s v="janvier"/>
    <s v="Non"/>
  </r>
  <r>
    <s v="V0018"/>
    <d v="2026-01-12T00:00:00"/>
    <x v="1"/>
    <s v="Ama"/>
    <s v="Jus de fruit 1 L"/>
    <s v="Boissons"/>
    <n v="1"/>
    <n v="1000"/>
    <n v="1000"/>
    <s v="Espèces"/>
    <s v="janvier"/>
    <s v="Non"/>
  </r>
  <r>
    <s v="V0047"/>
    <d v="2026-01-26T00:00:00"/>
    <x v="2"/>
    <s v="Komla"/>
    <s v="Jus de fruit 1 L"/>
    <s v="Boissons"/>
    <n v="1"/>
    <n v="1000"/>
    <n v="1000"/>
    <s v="T-Money"/>
    <s v="janvier"/>
    <s v="Non"/>
  </r>
  <r>
    <s v="V0053"/>
    <d v="2026-01-28T00:00:00"/>
    <x v="2"/>
    <s v="Komla"/>
    <s v="Jus de fruit 1 L"/>
    <s v="Boissons"/>
    <n v="1"/>
    <n v="1000"/>
    <n v="1000"/>
    <s v="T-Money"/>
    <s v="janvier"/>
    <s v="Non"/>
  </r>
  <r>
    <s v="V0055"/>
    <d v="2026-01-28T00:00:00"/>
    <x v="0"/>
    <s v="Yawo"/>
    <s v="Jus de fruit 1 L"/>
    <s v="Boissons"/>
    <n v="1"/>
    <n v="1000"/>
    <n v="1000"/>
    <s v="Espèces"/>
    <s v="janvier"/>
    <s v="Non"/>
  </r>
  <r>
    <s v="V0072"/>
    <d v="2026-02-04T00:00:00"/>
    <x v="1"/>
    <s v="Ama"/>
    <s v="Biscuits"/>
    <s v="Épicerie"/>
    <n v="4"/>
    <n v="250"/>
    <n v="1000"/>
    <s v="Espèces"/>
    <s v="février"/>
    <s v="Non"/>
  </r>
  <r>
    <s v="V0094"/>
    <d v="2026-02-12T00:00:00"/>
    <x v="0"/>
    <s v="Afi"/>
    <s v="Jus de fruit 1 L"/>
    <s v="Boissons"/>
    <n v="1"/>
    <n v="1000"/>
    <n v="1000"/>
    <s v="Espèces"/>
    <s v="février"/>
    <s v="Non"/>
  </r>
  <r>
    <s v="V0128"/>
    <d v="2026-03-04T00:00:00"/>
    <x v="1"/>
    <s v="Ama"/>
    <s v="Eau minérale 1,5 L"/>
    <s v="Boissons"/>
    <n v="2"/>
    <n v="500"/>
    <n v="1000"/>
    <s v="Flooz"/>
    <s v="mars"/>
    <s v="Non"/>
  </r>
  <r>
    <s v="V0193"/>
    <d v="2026-04-08T00:00:00"/>
    <x v="0"/>
    <s v="Yawo"/>
    <s v="Jus de fruit 1 L"/>
    <s v="Boissons"/>
    <n v="1"/>
    <n v="1000"/>
    <n v="1000"/>
    <s v="Espèces"/>
    <s v="avril"/>
    <s v="Non"/>
  </r>
  <r>
    <s v="V0216"/>
    <d v="2026-04-18T00:00:00"/>
    <x v="0"/>
    <s v="Yawo"/>
    <s v="Jus de fruit 1 L"/>
    <s v="Boissons"/>
    <n v="1"/>
    <n v="1000"/>
    <n v="1000"/>
    <s v="T-Money"/>
    <s v="avril"/>
    <s v="Non"/>
  </r>
  <r>
    <s v="V0237"/>
    <d v="2026-04-27T00:00:00"/>
    <x v="0"/>
    <s v="Afi"/>
    <s v="Biscuits"/>
    <s v="Épicerie"/>
    <n v="4"/>
    <n v="250"/>
    <n v="1000"/>
    <s v="Espèces"/>
    <s v="avril"/>
    <s v="Non"/>
  </r>
  <r>
    <s v="V0261"/>
    <d v="2026-05-05T00:00:00"/>
    <x v="2"/>
    <s v="Essi"/>
    <s v="Eau minérale 1,5 L"/>
    <s v="Boissons"/>
    <n v="2"/>
    <n v="500"/>
    <n v="1000"/>
    <s v="Espèces"/>
    <s v="mai"/>
    <s v="Non"/>
  </r>
  <r>
    <s v="V0319"/>
    <d v="2026-05-31T00:00:00"/>
    <x v="0"/>
    <s v="Yawo"/>
    <s v="Eau minérale 1,5 L"/>
    <s v="Boissons"/>
    <n v="2"/>
    <n v="500"/>
    <n v="1000"/>
    <s v="T-Money"/>
    <s v="mai"/>
    <s v="Non"/>
  </r>
  <r>
    <s v="V0333"/>
    <d v="2026-06-07T00:00:00"/>
    <x v="1"/>
    <s v="Ama"/>
    <s v="Jus de fruit 1 L"/>
    <s v="Boissons"/>
    <n v="1"/>
    <n v="1000"/>
    <n v="1000"/>
    <s v="Espèces"/>
    <s v="juin"/>
    <s v="Non"/>
  </r>
  <r>
    <s v="V0356"/>
    <d v="2026-06-15T00:00:00"/>
    <x v="0"/>
    <s v="Yawo"/>
    <s v="Eau minérale 1,5 L"/>
    <s v="Boissons"/>
    <n v="2"/>
    <n v="500"/>
    <n v="1000"/>
    <s v="Espèces"/>
    <s v="juin"/>
    <s v="Non"/>
  </r>
  <r>
    <s v="V0386"/>
    <d v="2026-06-25T00:00:00"/>
    <x v="0"/>
    <s v="Afi"/>
    <s v="Jus de fruit 1 L"/>
    <s v="Boissons"/>
    <n v="1"/>
    <n v="1000"/>
    <n v="1000"/>
    <s v="T-Money"/>
    <s v="juin"/>
    <s v="Non"/>
  </r>
  <r>
    <s v="V0027"/>
    <d v="2026-01-18T00:00:00"/>
    <x v="0"/>
    <s v="Yawo"/>
    <s v="Lessive 500 g"/>
    <s v="Hygiène"/>
    <n v="1"/>
    <n v="900"/>
    <n v="900"/>
    <s v="T-Money"/>
    <s v="janvier"/>
    <s v="Non"/>
  </r>
  <r>
    <s v="V0031"/>
    <d v="2026-01-20T00:00:00"/>
    <x v="2"/>
    <s v="Essi"/>
    <s v="Pâtes spaghetti 500 g"/>
    <s v="Alimentaire"/>
    <n v="2"/>
    <n v="450"/>
    <n v="900"/>
    <s v="Espèces"/>
    <s v="janvier"/>
    <s v="Non"/>
  </r>
  <r>
    <s v="V0046"/>
    <d v="2026-01-24T00:00:00"/>
    <x v="0"/>
    <s v="Afi"/>
    <s v="Pâtes spaghetti 500 g"/>
    <s v="Alimentaire"/>
    <n v="2"/>
    <n v="450"/>
    <n v="900"/>
    <s v="Espèces"/>
    <s v="janvier"/>
    <s v="Non"/>
  </r>
  <r>
    <s v="V0061"/>
    <d v="2026-01-31T00:00:00"/>
    <x v="2"/>
    <s v="Komla"/>
    <s v="Pâtes spaghetti 500 g"/>
    <s v="Alimentaire"/>
    <n v="2"/>
    <n v="450"/>
    <n v="900"/>
    <s v="T-Money"/>
    <s v="janvier"/>
    <s v="Non"/>
  </r>
  <r>
    <s v="V0130"/>
    <d v="2026-03-05T00:00:00"/>
    <x v="0"/>
    <s v="Afi"/>
    <s v="Pâtes spaghetti 500 g"/>
    <s v="Alimentaire"/>
    <n v="2"/>
    <n v="450"/>
    <n v="900"/>
    <s v="T-Money"/>
    <s v="mars"/>
    <s v="Non"/>
  </r>
  <r>
    <s v="V0149"/>
    <d v="2026-03-15T00:00:00"/>
    <x v="1"/>
    <s v="Ama"/>
    <s v="Pâtes spaghetti 500 g"/>
    <s v="Alimentaire"/>
    <n v="2"/>
    <n v="450"/>
    <n v="900"/>
    <s v="T-Money"/>
    <s v="mars"/>
    <s v="Non"/>
  </r>
  <r>
    <s v="V0172"/>
    <d v="2026-03-28T00:00:00"/>
    <x v="1"/>
    <s v="Kofi"/>
    <s v="Pâtes spaghetti 500 g"/>
    <s v="Alimentaire"/>
    <n v="2"/>
    <n v="450"/>
    <n v="900"/>
    <s v="Espèces"/>
    <s v="mars"/>
    <s v="Non"/>
  </r>
  <r>
    <s v="V0199"/>
    <d v="2026-04-10T00:00:00"/>
    <x v="0"/>
    <s v="Afi"/>
    <s v="Lessive 500 g"/>
    <s v="Hygiène"/>
    <n v="1"/>
    <n v="900"/>
    <n v="900"/>
    <s v="Espèces"/>
    <s v="avril"/>
    <s v="Non"/>
  </r>
  <r>
    <s v="V0241"/>
    <d v="2026-04-28T00:00:00"/>
    <x v="2"/>
    <s v="Essi"/>
    <s v="Lessive 500 g"/>
    <s v="Hygiène"/>
    <n v="1"/>
    <n v="900"/>
    <n v="900"/>
    <s v="Espèces"/>
    <s v="avril"/>
    <s v="Non"/>
  </r>
  <r>
    <s v="V0250"/>
    <d v="2026-05-01T00:00:00"/>
    <x v="0"/>
    <s v="Yawo"/>
    <s v="Pâtes spaghetti 500 g"/>
    <s v="Alimentaire"/>
    <n v="2"/>
    <n v="450"/>
    <n v="900"/>
    <s v="T-Money"/>
    <s v="mai"/>
    <s v="Non"/>
  </r>
  <r>
    <s v="V0252"/>
    <d v="2026-05-01T00:00:00"/>
    <x v="2"/>
    <s v="Komla"/>
    <s v="Lessive 500 g"/>
    <s v="Hygiène"/>
    <n v="1"/>
    <n v="900"/>
    <n v="900"/>
    <s v="Espèces"/>
    <s v="mai"/>
    <s v="Non"/>
  </r>
  <r>
    <s v="V0273"/>
    <d v="2026-05-13T00:00:00"/>
    <x v="0"/>
    <s v="Yawo"/>
    <s v="Pâtes spaghetti 500 g"/>
    <s v="Alimentaire"/>
    <n v="2"/>
    <n v="450"/>
    <n v="900"/>
    <s v="Espèces"/>
    <s v="mai"/>
    <s v="Non"/>
  </r>
  <r>
    <s v="V0283"/>
    <d v="2026-05-19T00:00:00"/>
    <x v="2"/>
    <s v="Komla"/>
    <s v="Savon de toilette"/>
    <s v="Hygiène"/>
    <n v="3"/>
    <n v="300"/>
    <n v="900"/>
    <s v="Espèces"/>
    <s v="mai"/>
    <s v="Non"/>
  </r>
  <r>
    <s v="V0359"/>
    <d v="2026-06-16T00:00:00"/>
    <x v="1"/>
    <s v="Kofi"/>
    <s v="Pâtes spaghetti 500 g"/>
    <s v="Alimentaire"/>
    <n v="2"/>
    <n v="450"/>
    <n v="900"/>
    <s v="T-Money"/>
    <s v="juin"/>
    <s v="Non"/>
  </r>
  <r>
    <s v="V0367"/>
    <d v="2026-06-17T00:00:00"/>
    <x v="2"/>
    <s v="Komla"/>
    <s v="Lessive 500 g"/>
    <s v="Hygiène"/>
    <n v="1"/>
    <n v="900"/>
    <n v="900"/>
    <s v="Espèces"/>
    <s v="juin"/>
    <s v="Non"/>
  </r>
  <r>
    <s v="V0384"/>
    <d v="2026-06-25T00:00:00"/>
    <x v="0"/>
    <s v="Yawo"/>
    <s v="Lessive 500 g"/>
    <s v="Hygiène"/>
    <n v="1"/>
    <n v="900"/>
    <n v="900"/>
    <s v="Espèces"/>
    <s v="juin"/>
    <s v="Non"/>
  </r>
  <r>
    <s v="V0002"/>
    <d v="2026-01-02T00:00:00"/>
    <x v="1"/>
    <s v="Kofi"/>
    <s v="Tomate concentrée"/>
    <s v="Alimentaire"/>
    <n v="2"/>
    <n v="400"/>
    <n v="800"/>
    <s v="T-Money"/>
    <s v="janvier"/>
    <s v="Non"/>
  </r>
  <r>
    <s v="V0029"/>
    <d v="2026-01-19T00:00:00"/>
    <x v="2"/>
    <s v="Komla"/>
    <s v="Sucre 1 kg"/>
    <s v="Alimentaire"/>
    <n v="1"/>
    <n v="800"/>
    <n v="800"/>
    <s v="T-Money"/>
    <s v="janvier"/>
    <s v="Non"/>
  </r>
  <r>
    <s v="V0042"/>
    <d v="2026-01-24T00:00:00"/>
    <x v="1"/>
    <s v="Kofi"/>
    <s v="Sucre 1 kg"/>
    <s v="Alimentaire"/>
    <n v="1"/>
    <n v="800"/>
    <n v="800"/>
    <s v="T-Money"/>
    <s v="janvier"/>
    <s v="Non"/>
  </r>
  <r>
    <s v="V0144"/>
    <d v="2026-03-12T00:00:00"/>
    <x v="1"/>
    <s v="Kofi"/>
    <s v="Boisson gazeuse 50 cl"/>
    <s v="Boissons"/>
    <n v="2"/>
    <n v="400"/>
    <n v="800"/>
    <s v="T-Money"/>
    <s v="mars"/>
    <s v="Non"/>
  </r>
  <r>
    <s v="V0262"/>
    <d v="2026-05-05T00:00:00"/>
    <x v="1"/>
    <s v="Kofi"/>
    <s v="Sucre 1 kg"/>
    <s v="Alimentaire"/>
    <n v="1"/>
    <n v="800"/>
    <n v="800"/>
    <s v="Espèces"/>
    <s v="mai"/>
    <s v="Non"/>
  </r>
  <r>
    <s v="V0263"/>
    <d v="2026-05-06T00:00:00"/>
    <x v="1"/>
    <s v="Kofi"/>
    <s v="Sucre 1 kg"/>
    <s v="Alimentaire"/>
    <n v="1"/>
    <n v="800"/>
    <n v="800"/>
    <s v="Espèces"/>
    <s v="mai"/>
    <s v="Non"/>
  </r>
  <r>
    <s v="V0264"/>
    <d v="2026-05-08T00:00:00"/>
    <x v="2"/>
    <s v="Essi"/>
    <s v="Sucre 1 kg"/>
    <s v="Alimentaire"/>
    <n v="1"/>
    <n v="800"/>
    <n v="800"/>
    <s v="Espèces"/>
    <s v="mai"/>
    <s v="Non"/>
  </r>
  <r>
    <s v="V0268"/>
    <d v="2026-05-10T00:00:00"/>
    <x v="0"/>
    <s v="Yawo"/>
    <s v="Tomate concentrée"/>
    <s v="Alimentaire"/>
    <n v="2"/>
    <n v="400"/>
    <n v="800"/>
    <s v="T-Money"/>
    <s v="mai"/>
    <s v="Non"/>
  </r>
  <r>
    <s v="V0274"/>
    <d v="2026-05-13T00:00:00"/>
    <x v="1"/>
    <s v="Ama"/>
    <s v="Sucre 1 kg"/>
    <s v="Alimentaire"/>
    <n v="1"/>
    <n v="800"/>
    <n v="800"/>
    <s v="Espèces"/>
    <s v="mai"/>
    <s v="Non"/>
  </r>
  <r>
    <s v="V0288"/>
    <d v="2026-05-21T00:00:00"/>
    <x v="1"/>
    <s v="Ama"/>
    <s v="Tomate concentrée"/>
    <s v="Alimentaire"/>
    <n v="2"/>
    <n v="400"/>
    <n v="800"/>
    <s v="Espèces"/>
    <s v="mai"/>
    <s v="Non"/>
  </r>
  <r>
    <s v="V0292"/>
    <d v="2026-05-21T00:00:00"/>
    <x v="0"/>
    <s v="Yawo"/>
    <s v="Sucre 1 kg"/>
    <s v="Alimentaire"/>
    <n v="1"/>
    <n v="800"/>
    <n v="800"/>
    <s v="Espèces"/>
    <s v="mai"/>
    <s v="Non"/>
  </r>
  <r>
    <s v="V0336"/>
    <d v="2026-06-08T00:00:00"/>
    <x v="1"/>
    <s v="Ama"/>
    <s v="Sucre 1 kg"/>
    <s v="Alimentaire"/>
    <n v="1"/>
    <n v="800"/>
    <n v="800"/>
    <s v="Espèces"/>
    <s v="juin"/>
    <s v="Non"/>
  </r>
  <r>
    <s v="V0360"/>
    <d v="2026-06-16T00:00:00"/>
    <x v="0"/>
    <s v="Yawo"/>
    <s v="Sucre 1 kg"/>
    <s v="Alimentaire"/>
    <n v="1"/>
    <n v="800"/>
    <n v="800"/>
    <s v="Espèces"/>
    <s v="juin"/>
    <s v="Non"/>
  </r>
  <r>
    <s v="V0380"/>
    <d v="2026-06-23T00:00:00"/>
    <x v="2"/>
    <s v="Essi"/>
    <s v="Boisson gazeuse 50 cl"/>
    <s v="Boissons"/>
    <n v="2"/>
    <n v="400"/>
    <n v="800"/>
    <s v="Espèces"/>
    <s v="juin"/>
    <s v="Non"/>
  </r>
  <r>
    <s v="V0382"/>
    <d v="2026-06-24T00:00:00"/>
    <x v="1"/>
    <s v="Kofi"/>
    <s v="Sucre 1 kg"/>
    <s v="Alimentaire"/>
    <n v="1"/>
    <n v="800"/>
    <n v="800"/>
    <s v="T-Money"/>
    <s v="juin"/>
    <s v="Non"/>
  </r>
  <r>
    <s v="V0024"/>
    <d v="2026-01-15T00:00:00"/>
    <x v="1"/>
    <s v="Kofi"/>
    <s v="Biscuits"/>
    <s v="Épicerie"/>
    <n v="3"/>
    <n v="250"/>
    <n v="750"/>
    <s v="Espèces"/>
    <s v="janvier"/>
    <s v="Non"/>
  </r>
  <r>
    <s v="V0059"/>
    <d v="2026-01-30T00:00:00"/>
    <x v="2"/>
    <s v="Essi"/>
    <s v="Biscuits"/>
    <s v="Épicerie"/>
    <n v="3"/>
    <n v="250"/>
    <n v="750"/>
    <s v="Espèces"/>
    <s v="janvier"/>
    <s v="Non"/>
  </r>
  <r>
    <s v="V0177"/>
    <d v="2026-03-30T00:00:00"/>
    <x v="0"/>
    <s v="Yawo"/>
    <s v="Biscuits"/>
    <s v="Épicerie"/>
    <n v="3"/>
    <n v="250"/>
    <n v="750"/>
    <s v="Espèces"/>
    <s v="mars"/>
    <s v="Non"/>
  </r>
  <r>
    <s v="V0323"/>
    <d v="2026-06-02T00:00:00"/>
    <x v="1"/>
    <s v="Kofi"/>
    <s v="Biscuits"/>
    <s v="Épicerie"/>
    <n v="3"/>
    <n v="250"/>
    <n v="750"/>
    <s v="Espèces"/>
    <s v="juin"/>
    <s v="Non"/>
  </r>
  <r>
    <s v="V0397"/>
    <d v="2026-06-29T00:00:00"/>
    <x v="2"/>
    <s v="Komla"/>
    <s v="Biscuits"/>
    <s v="Épicerie"/>
    <n v="3"/>
    <n v="250"/>
    <n v="750"/>
    <s v="Espèces"/>
    <s v="juin"/>
    <s v="Non"/>
  </r>
  <r>
    <s v="V0021"/>
    <d v="2026-01-14T00:00:00"/>
    <x v="0"/>
    <s v="Yawo"/>
    <s v="Dentifrice"/>
    <s v="Hygiène"/>
    <n v="1"/>
    <n v="700"/>
    <n v="700"/>
    <s v="T-Money"/>
    <s v="janvier"/>
    <s v="Non"/>
  </r>
  <r>
    <s v="V0137"/>
    <d v="2026-03-09T00:00:00"/>
    <x v="0"/>
    <s v="Afi"/>
    <s v="Dentifrice"/>
    <s v="Hygiène"/>
    <n v="1"/>
    <n v="700"/>
    <n v="700"/>
    <s v="Flooz"/>
    <s v="mars"/>
    <s v="Non"/>
  </r>
  <r>
    <s v="V0150"/>
    <d v="2026-03-15T00:00:00"/>
    <x v="0"/>
    <s v="Afi"/>
    <s v="Dentifrice"/>
    <s v="Hygiène"/>
    <n v="1"/>
    <n v="700"/>
    <n v="700"/>
    <s v="Flooz"/>
    <s v="mars"/>
    <s v="Non"/>
  </r>
  <r>
    <s v="V0211"/>
    <d v="2026-04-16T00:00:00"/>
    <x v="0"/>
    <s v="Yawo"/>
    <s v="Dentifrice"/>
    <s v="Hygiène"/>
    <n v="1"/>
    <n v="700"/>
    <n v="700"/>
    <s v="Espèces"/>
    <s v="avril"/>
    <s v="Non"/>
  </r>
  <r>
    <s v="V0256"/>
    <d v="2026-05-03T00:00:00"/>
    <x v="0"/>
    <s v="Afi"/>
    <s v="Dentifrice"/>
    <s v="Hygiène"/>
    <n v="1"/>
    <n v="700"/>
    <n v="700"/>
    <s v="Espèces"/>
    <s v="mai"/>
    <s v="Non"/>
  </r>
  <r>
    <s v="V0297"/>
    <d v="2026-05-23T00:00:00"/>
    <x v="1"/>
    <s v="Ama"/>
    <s v="Dentifrice"/>
    <s v="Hygiène"/>
    <n v="1"/>
    <n v="700"/>
    <n v="700"/>
    <s v="Espèces"/>
    <s v="mai"/>
    <s v="Non"/>
  </r>
  <r>
    <s v="V0300"/>
    <d v="2026-05-24T00:00:00"/>
    <x v="0"/>
    <s v="Yawo"/>
    <s v="Dentifrice"/>
    <s v="Hygiène"/>
    <n v="1"/>
    <n v="700"/>
    <n v="700"/>
    <s v="T-Money"/>
    <s v="mai"/>
    <s v="Non"/>
  </r>
  <r>
    <s v="V0307"/>
    <d v="2026-05-27T00:00:00"/>
    <x v="0"/>
    <s v="Yawo"/>
    <s v="Dentifrice"/>
    <s v="Hygiène"/>
    <n v="1"/>
    <n v="700"/>
    <n v="700"/>
    <s v="Espèces"/>
    <s v="mai"/>
    <s v="Non"/>
  </r>
  <r>
    <s v="V0373"/>
    <d v="2026-06-20T00:00:00"/>
    <x v="0"/>
    <s v="Afi"/>
    <s v="Dentifrice"/>
    <s v="Hygiène"/>
    <n v="1"/>
    <n v="700"/>
    <n v="700"/>
    <s v="T-Money"/>
    <s v="juin"/>
    <s v="Non"/>
  </r>
  <r>
    <s v="V0379"/>
    <d v="2026-06-23T00:00:00"/>
    <x v="2"/>
    <s v="Komla"/>
    <s v="Dentifrice"/>
    <s v="Hygiène"/>
    <n v="1"/>
    <n v="700"/>
    <n v="700"/>
    <s v="Flooz"/>
    <s v="juin"/>
    <s v="Non"/>
  </r>
  <r>
    <s v="V0008"/>
    <d v="2026-01-06T00:00:00"/>
    <x v="2"/>
    <s v="Komla"/>
    <s v="Savon de toilette"/>
    <s v="Hygiène"/>
    <n v="2"/>
    <n v="300"/>
    <n v="600"/>
    <s v="Espèces"/>
    <s v="janvier"/>
    <s v="Non"/>
  </r>
  <r>
    <s v="V0100"/>
    <d v="2026-02-14T00:00:00"/>
    <x v="0"/>
    <s v="Yawo"/>
    <s v="Bougies (lot de 6)"/>
    <s v="Épicerie"/>
    <n v="1"/>
    <n v="600"/>
    <n v="600"/>
    <s v="Flooz"/>
    <s v="février"/>
    <s v="Non"/>
  </r>
  <r>
    <s v="V0121"/>
    <d v="2026-02-26T00:00:00"/>
    <x v="0"/>
    <s v="Afi"/>
    <s v="Bougies (lot de 6)"/>
    <s v="Épicerie"/>
    <n v="1"/>
    <n v="600"/>
    <n v="600"/>
    <s v="Espèces"/>
    <s v="février"/>
    <s v="Non"/>
  </r>
  <r>
    <s v="V0134"/>
    <d v="2026-03-09T00:00:00"/>
    <x v="1"/>
    <s v="Ama"/>
    <s v="Bougies (lot de 6)"/>
    <s v="Épicerie"/>
    <n v="1"/>
    <n v="600"/>
    <n v="600"/>
    <s v="Flooz"/>
    <s v="mars"/>
    <s v="Non"/>
  </r>
  <r>
    <s v="V0153"/>
    <d v="2026-03-18T00:00:00"/>
    <x v="0"/>
    <s v="Afi"/>
    <s v="Bougies (lot de 6)"/>
    <s v="Épicerie"/>
    <n v="1"/>
    <n v="600"/>
    <n v="600"/>
    <s v="Espèces"/>
    <s v="mars"/>
    <s v="Non"/>
  </r>
  <r>
    <s v="V0195"/>
    <d v="2026-04-08T00:00:00"/>
    <x v="2"/>
    <s v="Essi"/>
    <s v="Savon de toilette"/>
    <s v="Hygiène"/>
    <n v="2"/>
    <n v="300"/>
    <n v="600"/>
    <s v="Flooz"/>
    <s v="avril"/>
    <s v="Non"/>
  </r>
  <r>
    <s v="V0221"/>
    <d v="2026-04-20T00:00:00"/>
    <x v="2"/>
    <s v="Komla"/>
    <s v="Savon de toilette"/>
    <s v="Hygiène"/>
    <n v="2"/>
    <n v="300"/>
    <n v="600"/>
    <s v="Espèces"/>
    <s v="avril"/>
    <s v="Non"/>
  </r>
  <r>
    <s v="V0267"/>
    <d v="2026-05-10T00:00:00"/>
    <x v="0"/>
    <s v="Afi"/>
    <s v="Bougies (lot de 6)"/>
    <s v="Épicerie"/>
    <n v="1"/>
    <n v="600"/>
    <n v="600"/>
    <s v="T-Money"/>
    <s v="mai"/>
    <s v="Non"/>
  </r>
  <r>
    <s v="V0306"/>
    <d v="2026-05-26T00:00:00"/>
    <x v="2"/>
    <s v="Komla"/>
    <s v="Bougies (lot de 6)"/>
    <s v="Épicerie"/>
    <n v="1"/>
    <n v="600"/>
    <n v="600"/>
    <s v="Espèces"/>
    <s v="mai"/>
    <s v="Non"/>
  </r>
  <r>
    <s v="V0340"/>
    <d v="2026-06-10T00:00:00"/>
    <x v="2"/>
    <s v="Essi"/>
    <s v="Savon de toilette"/>
    <s v="Hygiène"/>
    <n v="2"/>
    <n v="300"/>
    <n v="600"/>
    <s v="T-Money"/>
    <s v="juin"/>
    <s v="Non"/>
  </r>
  <r>
    <s v="V0353"/>
    <d v="2026-06-14T00:00:00"/>
    <x v="2"/>
    <s v="Essi"/>
    <s v="Bougies (lot de 6)"/>
    <s v="Épicerie"/>
    <n v="1"/>
    <n v="600"/>
    <n v="600"/>
    <s v="Flooz"/>
    <s v="juin"/>
    <s v="Non"/>
  </r>
  <r>
    <s v="V0362"/>
    <d v="2026-06-17T00:00:00"/>
    <x v="2"/>
    <s v="Komla"/>
    <s v="Bougies (lot de 6)"/>
    <s v="Épicerie"/>
    <n v="1"/>
    <n v="600"/>
    <n v="600"/>
    <s v="T-Money"/>
    <s v="juin"/>
    <s v="Non"/>
  </r>
  <r>
    <s v="V0378"/>
    <d v="2026-06-22T00:00:00"/>
    <x v="1"/>
    <s v="Ama"/>
    <s v="Savon de toilette"/>
    <s v="Hygiène"/>
    <n v="2"/>
    <n v="300"/>
    <n v="600"/>
    <s v="T-Money"/>
    <s v="juin"/>
    <s v="Non"/>
  </r>
  <r>
    <s v="V0016"/>
    <d v="2026-01-12T00:00:00"/>
    <x v="2"/>
    <s v="Komla"/>
    <s v="Biscuits"/>
    <s v="Épicerie"/>
    <n v="2"/>
    <n v="250"/>
    <n v="500"/>
    <s v="Flooz"/>
    <s v="janvier"/>
    <s v="Non"/>
  </r>
  <r>
    <s v="V0071"/>
    <d v="2026-02-03T00:00:00"/>
    <x v="1"/>
    <s v="Ama"/>
    <s v="Biscuits"/>
    <s v="Épicerie"/>
    <n v="2"/>
    <n v="250"/>
    <n v="500"/>
    <s v="Espèces"/>
    <s v="février"/>
    <s v="Non"/>
  </r>
  <r>
    <s v="V0161"/>
    <d v="2026-03-22T00:00:00"/>
    <x v="1"/>
    <s v="Ama"/>
    <s v="Eau minérale 1,5 L"/>
    <s v="Boissons"/>
    <n v="1"/>
    <n v="500"/>
    <n v="500"/>
    <s v="T-Money"/>
    <s v="mars"/>
    <s v="Non"/>
  </r>
  <r>
    <s v="V0171"/>
    <d v="2026-03-28T00:00:00"/>
    <x v="1"/>
    <s v="Kofi"/>
    <s v="Eau minérale 1,5 L"/>
    <s v="Boissons"/>
    <n v="1"/>
    <n v="500"/>
    <n v="500"/>
    <s v="Espèces"/>
    <s v="mars"/>
    <s v="Non"/>
  </r>
  <r>
    <s v="V0207"/>
    <d v="2026-04-14T00:00:00"/>
    <x v="0"/>
    <s v="Yawo"/>
    <s v="Eau minérale 1,5 L"/>
    <s v="Boissons"/>
    <n v="1"/>
    <n v="500"/>
    <n v="500"/>
    <s v="Espèces"/>
    <s v="avril"/>
    <s v="Non"/>
  </r>
  <r>
    <s v="V0238"/>
    <d v="2026-04-27T00:00:00"/>
    <x v="1"/>
    <s v="Kofi"/>
    <s v="Eau minérale 1,5 L"/>
    <s v="Boissons"/>
    <n v="1"/>
    <n v="500"/>
    <n v="500"/>
    <s v="Espèces"/>
    <s v="avril"/>
    <s v="Non"/>
  </r>
  <r>
    <s v="V0255"/>
    <d v="2026-05-02T00:00:00"/>
    <x v="0"/>
    <s v="Afi"/>
    <s v="Biscuits"/>
    <s v="Épicerie"/>
    <n v="2"/>
    <n v="250"/>
    <n v="500"/>
    <s v="T-Money"/>
    <s v="mai"/>
    <s v="Non"/>
  </r>
  <r>
    <s v="V0271"/>
    <d v="2026-05-12T00:00:00"/>
    <x v="1"/>
    <s v="Ama"/>
    <s v="Eau minérale 1,5 L"/>
    <s v="Boissons"/>
    <n v="1"/>
    <n v="500"/>
    <n v="500"/>
    <s v="Espèces"/>
    <s v="mai"/>
    <s v="Non"/>
  </r>
  <r>
    <s v="V0309"/>
    <d v="2026-05-28T00:00:00"/>
    <x v="2"/>
    <s v="Komla"/>
    <s v="Biscuits"/>
    <s v="Épicerie"/>
    <n v="2"/>
    <n v="250"/>
    <n v="500"/>
    <s v="Espèces"/>
    <s v="mai"/>
    <s v="Non"/>
  </r>
  <r>
    <s v="V0332"/>
    <d v="2026-06-06T00:00:00"/>
    <x v="2"/>
    <s v="Komla"/>
    <s v="Biscuits"/>
    <s v="Épicerie"/>
    <n v="2"/>
    <n v="250"/>
    <n v="500"/>
    <s v="T-Money"/>
    <s v="juin"/>
    <s v="Non"/>
  </r>
  <r>
    <s v="V0342"/>
    <d v="2026-06-10T00:00:00"/>
    <x v="2"/>
    <s v="Komla"/>
    <s v="Eau minérale 1,5 L"/>
    <s v="Boissons"/>
    <n v="1"/>
    <n v="500"/>
    <n v="500"/>
    <s v="Espèces"/>
    <s v="juin"/>
    <s v="Non"/>
  </r>
  <r>
    <s v="V0389"/>
    <d v="2026-06-26T00:00:00"/>
    <x v="0"/>
    <s v="Yawo"/>
    <s v="Eau minérale 1,5 L"/>
    <s v="Boissons"/>
    <n v="1"/>
    <n v="500"/>
    <n v="500"/>
    <s v="Espèces"/>
    <s v="juin"/>
    <s v="Non"/>
  </r>
  <r>
    <s v="V0057"/>
    <d v="2026-01-29T00:00:00"/>
    <x v="0"/>
    <s v="Afi"/>
    <s v="Pâtes spaghetti 500 g"/>
    <s v="Alimentaire"/>
    <n v="1"/>
    <n v="450"/>
    <n v="450"/>
    <s v="Espèces"/>
    <s v="janvier"/>
    <s v="Non"/>
  </r>
  <r>
    <s v="V0078"/>
    <d v="2026-02-05T00:00:00"/>
    <x v="1"/>
    <s v="Kofi"/>
    <s v="Pâtes spaghetti 500 g"/>
    <s v="Alimentaire"/>
    <n v="1"/>
    <n v="450"/>
    <n v="450"/>
    <s v="T-Money"/>
    <s v="février"/>
    <s v="Non"/>
  </r>
  <r>
    <s v="V0311"/>
    <d v="2026-05-28T00:00:00"/>
    <x v="2"/>
    <s v="Essi"/>
    <s v="Pâtes spaghetti 500 g"/>
    <s v="Alimentaire"/>
    <n v="1"/>
    <n v="450"/>
    <n v="450"/>
    <s v="Espèces"/>
    <s v="mai"/>
    <s v="Non"/>
  </r>
  <r>
    <s v="V0314"/>
    <d v="2026-05-30T00:00:00"/>
    <x v="0"/>
    <s v="Afi"/>
    <s v="Pâtes spaghetti 500 g"/>
    <s v="Alimentaire"/>
    <n v="1"/>
    <n v="450"/>
    <n v="450"/>
    <s v="Espèces"/>
    <s v="mai"/>
    <s v="Non"/>
  </r>
  <r>
    <s v="V0023"/>
    <d v="2026-01-14T00:00:00"/>
    <x v="1"/>
    <s v="Ama"/>
    <s v="Boisson gazeuse 50 cl"/>
    <s v="Boissons"/>
    <n v="1"/>
    <n v="400"/>
    <n v="400"/>
    <s v="Flooz"/>
    <s v="janvier"/>
    <s v="Non"/>
  </r>
  <r>
    <s v="V0041"/>
    <d v="2026-01-23T00:00:00"/>
    <x v="2"/>
    <s v="Komla"/>
    <s v="Boisson gazeuse 50 cl"/>
    <s v="Boissons"/>
    <n v="1"/>
    <n v="400"/>
    <n v="400"/>
    <s v="Flooz"/>
    <s v="janvier"/>
    <s v="Non"/>
  </r>
  <r>
    <s v="V0104"/>
    <d v="2026-02-16T00:00:00"/>
    <x v="1"/>
    <s v="Ama"/>
    <s v="Boisson gazeuse 50 cl"/>
    <s v="Boissons"/>
    <n v="1"/>
    <n v="400"/>
    <n v="400"/>
    <s v="T-Money"/>
    <s v="février"/>
    <s v="Non"/>
  </r>
  <r>
    <s v="V0133"/>
    <d v="2026-03-09T00:00:00"/>
    <x v="2"/>
    <s v="Komla"/>
    <s v="Boisson gazeuse 50 cl"/>
    <s v="Boissons"/>
    <n v="1"/>
    <n v="400"/>
    <n v="400"/>
    <s v="Flooz"/>
    <s v="mars"/>
    <s v="Non"/>
  </r>
  <r>
    <s v="V0151"/>
    <d v="2026-03-17T00:00:00"/>
    <x v="1"/>
    <s v="Ama"/>
    <s v="Tomate concentrée"/>
    <s v="Alimentaire"/>
    <n v="1"/>
    <n v="400"/>
    <n v="400"/>
    <s v="Espèces"/>
    <s v="mars"/>
    <s v="Non"/>
  </r>
  <r>
    <s v="V0166"/>
    <d v="2026-03-27T00:00:00"/>
    <x v="0"/>
    <s v="Yawo"/>
    <s v="Tomate concentrée"/>
    <s v="Alimentaire"/>
    <n v="1"/>
    <n v="400"/>
    <n v="400"/>
    <s v="T-Money"/>
    <s v="mars"/>
    <s v="Non"/>
  </r>
  <r>
    <s v="V0179"/>
    <d v="2026-04-01T00:00:00"/>
    <x v="2"/>
    <s v="Essi"/>
    <s v="Tomate concentrée"/>
    <s v="Alimentaire"/>
    <n v="1"/>
    <n v="400"/>
    <n v="400"/>
    <s v="Espèces"/>
    <s v="avril"/>
    <s v="Non"/>
  </r>
  <r>
    <s v="V0180"/>
    <d v="2026-04-02T00:00:00"/>
    <x v="1"/>
    <s v="Ama"/>
    <s v="Tomate concentrée"/>
    <s v="Alimentaire"/>
    <n v="1"/>
    <n v="400"/>
    <n v="400"/>
    <s v="T-Money"/>
    <s v="avril"/>
    <s v="Non"/>
  </r>
  <r>
    <s v="V0203"/>
    <d v="2026-04-12T00:00:00"/>
    <x v="0"/>
    <s v="Yawo"/>
    <s v="Tomate concentrée"/>
    <s v="Alimentaire"/>
    <n v="1"/>
    <n v="400"/>
    <n v="400"/>
    <s v="Espèces"/>
    <s v="avril"/>
    <s v="Non"/>
  </r>
  <r>
    <s v="V0245"/>
    <d v="2026-04-30T00:00:00"/>
    <x v="2"/>
    <s v="Essi"/>
    <s v="Boisson gazeuse 50 cl"/>
    <s v="Boissons"/>
    <n v="1"/>
    <n v="400"/>
    <n v="400"/>
    <s v="T-Money"/>
    <s v="avril"/>
    <s v="Non"/>
  </r>
  <r>
    <s v="V0294"/>
    <d v="2026-05-22T00:00:00"/>
    <x v="1"/>
    <s v="Kofi"/>
    <s v="Tomate concentrée"/>
    <s v="Alimentaire"/>
    <n v="1"/>
    <n v="400"/>
    <n v="400"/>
    <s v="T-Money"/>
    <s v="mai"/>
    <s v="Non"/>
  </r>
  <r>
    <s v="V0321"/>
    <d v="2026-06-01T00:00:00"/>
    <x v="1"/>
    <s v="Ama"/>
    <s v="Boisson gazeuse 50 cl"/>
    <s v="Boissons"/>
    <n v="1"/>
    <n v="400"/>
    <n v="400"/>
    <s v="Espèces"/>
    <s v="juin"/>
    <s v="Non"/>
  </r>
  <r>
    <s v="V0322"/>
    <d v="2026-06-02T00:00:00"/>
    <x v="2"/>
    <s v="Essi"/>
    <s v="Boisson gazeuse 50 cl"/>
    <s v="Boissons"/>
    <n v="1"/>
    <n v="400"/>
    <n v="400"/>
    <s v="Espèces"/>
    <s v="juin"/>
    <s v="Non"/>
  </r>
  <r>
    <s v="V0350"/>
    <d v="2026-06-13T00:00:00"/>
    <x v="0"/>
    <s v="Afi"/>
    <s v="Boisson gazeuse 50 cl"/>
    <s v="Boissons"/>
    <n v="1"/>
    <n v="400"/>
    <n v="400"/>
    <s v="Flooz"/>
    <s v="juin"/>
    <s v="Non"/>
  </r>
  <r>
    <s v="V0351"/>
    <d v="2026-06-14T00:00:00"/>
    <x v="0"/>
    <s v="Yawo"/>
    <s v="Tomate concentrée"/>
    <s v="Alimentaire"/>
    <n v="1"/>
    <n v="400"/>
    <n v="400"/>
    <s v="Espèces"/>
    <s v="juin"/>
    <s v="Non"/>
  </r>
  <r>
    <s v="V0370"/>
    <d v="2026-06-19T00:00:00"/>
    <x v="1"/>
    <s v="Kofi"/>
    <s v="Tomate concentrée"/>
    <s v="Alimentaire"/>
    <n v="1"/>
    <n v="400"/>
    <n v="400"/>
    <s v="Flooz"/>
    <s v="juin"/>
    <s v="Non"/>
  </r>
  <r>
    <s v="V0113"/>
    <d v="2026-02-23T00:00:00"/>
    <x v="2"/>
    <s v="Essi"/>
    <s v="Savon de toilette"/>
    <s v="Hygiène"/>
    <n v="1"/>
    <n v="300"/>
    <n v="300"/>
    <s v="Espèces"/>
    <s v="février"/>
    <s v="Non"/>
  </r>
  <r>
    <s v="V0178"/>
    <d v="2026-04-01T00:00:00"/>
    <x v="2"/>
    <s v="Essi"/>
    <s v="Savon de toilette"/>
    <s v="Hygiène"/>
    <n v="1"/>
    <n v="300"/>
    <n v="300"/>
    <s v="Flooz"/>
    <s v="avril"/>
    <s v="Non"/>
  </r>
  <r>
    <s v="V0260"/>
    <d v="2026-05-05T00:00:00"/>
    <x v="2"/>
    <s v="Komla"/>
    <s v="Savon de toilette"/>
    <s v="Hygiène"/>
    <n v="1"/>
    <n v="300"/>
    <n v="300"/>
    <s v="Espèces"/>
    <s v="mai"/>
    <s v="Non"/>
  </r>
  <r>
    <s v="V0305"/>
    <d v="2026-05-26T00:00:00"/>
    <x v="1"/>
    <s v="Kofi"/>
    <s v="Savon de toilette"/>
    <s v="Hygiène"/>
    <n v="1"/>
    <n v="300"/>
    <n v="300"/>
    <s v="Espèces"/>
    <s v="mai"/>
    <s v="Non"/>
  </r>
  <r>
    <s v="V0394"/>
    <d v="2026-06-28T00:00:00"/>
    <x v="2"/>
    <s v="Essi"/>
    <s v="Savon de toilette"/>
    <s v="Hygiène"/>
    <n v="1"/>
    <n v="300"/>
    <n v="300"/>
    <s v="Flooz"/>
    <s v="juin"/>
    <s v="Non"/>
  </r>
  <r>
    <s v="V0395"/>
    <d v="2026-06-29T00:00:00"/>
    <x v="2"/>
    <s v="Komla"/>
    <s v="Savon de toilette"/>
    <s v="Hygiène"/>
    <n v="1"/>
    <n v="300"/>
    <n v="300"/>
    <s v="Espèces"/>
    <s v="juin"/>
    <s v="Non"/>
  </r>
  <r>
    <s v="V0010"/>
    <d v="2026-01-08T00:00:00"/>
    <x v="1"/>
    <s v="Ama"/>
    <s v="Biscuits"/>
    <s v="Épicerie"/>
    <n v="1"/>
    <n v="250"/>
    <n v="250"/>
    <s v="Espèces"/>
    <s v="janvier"/>
    <s v="Non"/>
  </r>
  <r>
    <s v="V0093"/>
    <d v="2026-02-12T00:00:00"/>
    <x v="2"/>
    <s v="Komla"/>
    <s v="Biscuits"/>
    <s v="Épicerie"/>
    <n v="1"/>
    <n v="250"/>
    <n v="250"/>
    <s v="Flooz"/>
    <s v="février"/>
    <s v="Non"/>
  </r>
  <r>
    <s v="V0098"/>
    <d v="2026-02-14T00:00:00"/>
    <x v="2"/>
    <s v="Komla"/>
    <s v="Biscuits"/>
    <s v="Épicerie"/>
    <n v="1"/>
    <n v="250"/>
    <n v="250"/>
    <s v="Espèces"/>
    <s v="février"/>
    <s v="Non"/>
  </r>
  <r>
    <s v="V0115"/>
    <d v="2026-02-24T00:00:00"/>
    <x v="2"/>
    <s v="Essi"/>
    <s v="Biscuits"/>
    <s v="Épicerie"/>
    <n v="1"/>
    <n v="250"/>
    <n v="250"/>
    <s v="T-Money"/>
    <s v="février"/>
    <s v="Non"/>
  </r>
  <r>
    <s v="V0118"/>
    <d v="2026-02-25T00:00:00"/>
    <x v="1"/>
    <s v="Ama"/>
    <s v="Biscuits"/>
    <s v="Épicerie"/>
    <n v="1"/>
    <n v="250"/>
    <n v="250"/>
    <s v="T-Money"/>
    <s v="février"/>
    <s v="Non"/>
  </r>
  <r>
    <s v="V0173"/>
    <d v="2026-03-28T00:00:00"/>
    <x v="2"/>
    <s v="Essi"/>
    <s v="Biscuits"/>
    <s v="Épicerie"/>
    <n v="1"/>
    <n v="250"/>
    <n v="250"/>
    <s v="Espèces"/>
    <s v="mars"/>
    <s v="Non"/>
  </r>
  <r>
    <s v="V0176"/>
    <d v="2026-03-30T00:00:00"/>
    <x v="2"/>
    <s v="Essi"/>
    <s v="Biscuits"/>
    <s v="Épicerie"/>
    <n v="1"/>
    <n v="250"/>
    <n v="250"/>
    <s v="T-Money"/>
    <s v="mars"/>
    <s v="Non"/>
  </r>
  <r>
    <s v="V0232"/>
    <d v="2026-04-25T00:00:00"/>
    <x v="2"/>
    <s v="Essi"/>
    <s v="Biscuits"/>
    <s v="Épicerie"/>
    <n v="1"/>
    <n v="250"/>
    <n v="250"/>
    <s v="T-Money"/>
    <s v="avril"/>
    <s v="Non"/>
  </r>
  <r>
    <s v="V0248"/>
    <d v="2026-04-30T00:00:00"/>
    <x v="0"/>
    <s v="Yawo"/>
    <s v="Biscuits"/>
    <s v="Épicerie"/>
    <n v="1"/>
    <n v="250"/>
    <n v="250"/>
    <s v="Espèces"/>
    <s v="avril"/>
    <s v="Non"/>
  </r>
  <r>
    <s v="V0258"/>
    <d v="2026-05-04T00:00:00"/>
    <x v="0"/>
    <s v="Afi"/>
    <s v="Biscuits"/>
    <s v="Épicerie"/>
    <n v="1"/>
    <n v="250"/>
    <n v="250"/>
    <s v="Espèces"/>
    <s v="mai"/>
    <s v="N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0030"/>
    <d v="2026-01-20T00:00:00"/>
    <x v="0"/>
    <s v="Yawo"/>
    <x v="0"/>
    <x v="0"/>
    <n v="3"/>
    <n v="3500"/>
    <x v="0"/>
    <s v="Flooz"/>
    <s v="janvier"/>
    <s v="Oui"/>
  </r>
  <r>
    <s v="V0181"/>
    <d v="2026-04-03T00:00:00"/>
    <x v="1"/>
    <s v="Ama"/>
    <x v="0"/>
    <x v="0"/>
    <n v="3"/>
    <n v="3500"/>
    <x v="0"/>
    <s v="Espèces"/>
    <s v="avril"/>
    <s v="Oui"/>
  </r>
  <r>
    <s v="V0222"/>
    <d v="2026-04-22T00:00:00"/>
    <x v="1"/>
    <s v="Ama"/>
    <x v="0"/>
    <x v="0"/>
    <n v="3"/>
    <n v="3500"/>
    <x v="0"/>
    <s v="Flooz"/>
    <s v="avril"/>
    <s v="Oui"/>
  </r>
  <r>
    <s v="V0287"/>
    <d v="2026-05-20T00:00:00"/>
    <x v="0"/>
    <s v="Afi"/>
    <x v="0"/>
    <x v="0"/>
    <n v="3"/>
    <n v="3500"/>
    <x v="0"/>
    <s v="Espèces"/>
    <s v="mai"/>
    <s v="Oui"/>
  </r>
  <r>
    <s v="V0019"/>
    <d v="2026-01-13T00:00:00"/>
    <x v="1"/>
    <s v="Ama"/>
    <x v="1"/>
    <x v="1"/>
    <n v="10"/>
    <n v="1000"/>
    <x v="1"/>
    <s v="Flooz"/>
    <s v="janvier"/>
    <s v="Oui"/>
  </r>
  <r>
    <s v="V0044"/>
    <d v="2026-01-24T00:00:00"/>
    <x v="2"/>
    <s v="Essi"/>
    <x v="1"/>
    <x v="1"/>
    <n v="10"/>
    <n v="1000"/>
    <x v="1"/>
    <s v="Espèces"/>
    <s v="janvier"/>
    <s v="Oui"/>
  </r>
  <r>
    <s v="V0186"/>
    <d v="2026-04-04T00:00:00"/>
    <x v="2"/>
    <s v="Komla"/>
    <x v="1"/>
    <x v="1"/>
    <n v="10"/>
    <n v="1000"/>
    <x v="1"/>
    <s v="Espèces"/>
    <s v="avril"/>
    <s v="Oui"/>
  </r>
  <r>
    <s v="V0194"/>
    <d v="2026-04-08T00:00:00"/>
    <x v="2"/>
    <s v="Komla"/>
    <x v="1"/>
    <x v="1"/>
    <n v="10"/>
    <n v="1000"/>
    <x v="1"/>
    <s v="Espèces"/>
    <s v="avril"/>
    <s v="Oui"/>
  </r>
  <r>
    <s v="V0372"/>
    <d v="2026-06-19T00:00:00"/>
    <x v="0"/>
    <s v="Afi"/>
    <x v="1"/>
    <x v="1"/>
    <n v="10"/>
    <n v="1000"/>
    <x v="1"/>
    <s v="T-Money"/>
    <s v="juin"/>
    <s v="Oui"/>
  </r>
  <r>
    <s v="V0298"/>
    <d v="2026-05-24T00:00:00"/>
    <x v="2"/>
    <s v="Essi"/>
    <x v="2"/>
    <x v="2"/>
    <n v="10"/>
    <n v="900"/>
    <x v="2"/>
    <s v="Espèces"/>
    <s v="mai"/>
    <s v="Oui"/>
  </r>
  <r>
    <s v="V0009"/>
    <d v="2026-01-08T00:00:00"/>
    <x v="1"/>
    <s v="Ama"/>
    <x v="3"/>
    <x v="0"/>
    <n v="10"/>
    <n v="800"/>
    <x v="3"/>
    <s v="Flooz"/>
    <s v="janvier"/>
    <s v="Oui"/>
  </r>
  <r>
    <s v="V0170"/>
    <d v="2026-03-27T00:00:00"/>
    <x v="0"/>
    <s v="Afi"/>
    <x v="3"/>
    <x v="0"/>
    <n v="10"/>
    <n v="800"/>
    <x v="3"/>
    <s v="Flooz"/>
    <s v="mars"/>
    <s v="Oui"/>
  </r>
  <r>
    <s v="V0174"/>
    <d v="2026-03-28T00:00:00"/>
    <x v="0"/>
    <s v="Yawo"/>
    <x v="3"/>
    <x v="0"/>
    <n v="10"/>
    <n v="800"/>
    <x v="3"/>
    <s v="Flooz"/>
    <s v="mars"/>
    <s v="Oui"/>
  </r>
  <r>
    <s v="V0206"/>
    <d v="2026-04-14T00:00:00"/>
    <x v="1"/>
    <s v="Ama"/>
    <x v="3"/>
    <x v="0"/>
    <n v="10"/>
    <n v="800"/>
    <x v="3"/>
    <s v="Espèces"/>
    <s v="avril"/>
    <s v="Oui"/>
  </r>
  <r>
    <s v="V0365"/>
    <d v="2026-06-17T00:00:00"/>
    <x v="2"/>
    <s v="Essi"/>
    <x v="3"/>
    <x v="0"/>
    <n v="10"/>
    <n v="800"/>
    <x v="3"/>
    <s v="T-Money"/>
    <s v="juin"/>
    <s v="Oui"/>
  </r>
  <r>
    <s v="V0219"/>
    <d v="2026-04-19T00:00:00"/>
    <x v="2"/>
    <s v="Essi"/>
    <x v="4"/>
    <x v="0"/>
    <n v="3"/>
    <n v="2500"/>
    <x v="4"/>
    <s v="Espèces"/>
    <s v="avril"/>
    <s v="Oui"/>
  </r>
  <r>
    <s v="V0259"/>
    <d v="2026-05-05T00:00:00"/>
    <x v="1"/>
    <s v="Ama"/>
    <x v="4"/>
    <x v="0"/>
    <n v="3"/>
    <n v="2500"/>
    <x v="4"/>
    <s v="T-Money"/>
    <s v="mai"/>
    <s v="Oui"/>
  </r>
  <r>
    <s v="V0281"/>
    <d v="2026-05-18T00:00:00"/>
    <x v="1"/>
    <s v="Ama"/>
    <x v="4"/>
    <x v="0"/>
    <n v="3"/>
    <n v="2500"/>
    <x v="4"/>
    <s v="T-Money"/>
    <s v="mai"/>
    <s v="Oui"/>
  </r>
  <r>
    <s v="V0377"/>
    <d v="2026-06-22T00:00:00"/>
    <x v="2"/>
    <s v="Essi"/>
    <x v="4"/>
    <x v="0"/>
    <n v="3"/>
    <n v="2500"/>
    <x v="4"/>
    <s v="T-Money"/>
    <s v="juin"/>
    <s v="Oui"/>
  </r>
  <r>
    <s v="V0012"/>
    <d v="2026-01-08T00:00:00"/>
    <x v="1"/>
    <s v="Kofi"/>
    <x v="5"/>
    <x v="2"/>
    <n v="10"/>
    <n v="700"/>
    <x v="5"/>
    <s v="Espèces"/>
    <s v="janvier"/>
    <s v="Oui"/>
  </r>
  <r>
    <s v="V0017"/>
    <d v="2026-01-12T00:00:00"/>
    <x v="2"/>
    <s v="Essi"/>
    <x v="0"/>
    <x v="0"/>
    <n v="2"/>
    <n v="3500"/>
    <x v="5"/>
    <s v="Flooz"/>
    <s v="janvier"/>
    <s v="Oui"/>
  </r>
  <r>
    <s v="V0079"/>
    <d v="2026-02-06T00:00:00"/>
    <x v="0"/>
    <s v="Afi"/>
    <x v="0"/>
    <x v="0"/>
    <n v="2"/>
    <n v="3500"/>
    <x v="5"/>
    <s v="Espèces"/>
    <s v="février"/>
    <s v="Oui"/>
  </r>
  <r>
    <s v="V0119"/>
    <d v="2026-02-26T00:00:00"/>
    <x v="1"/>
    <s v="Ama"/>
    <x v="0"/>
    <x v="0"/>
    <n v="2"/>
    <n v="3500"/>
    <x v="5"/>
    <s v="Espèces"/>
    <s v="février"/>
    <s v="Oui"/>
  </r>
  <r>
    <s v="V0188"/>
    <d v="2026-04-05T00:00:00"/>
    <x v="1"/>
    <s v="Ama"/>
    <x v="0"/>
    <x v="0"/>
    <n v="2"/>
    <n v="3500"/>
    <x v="5"/>
    <s v="T-Money"/>
    <s v="avril"/>
    <s v="Oui"/>
  </r>
  <r>
    <s v="V0198"/>
    <d v="2026-04-10T00:00:00"/>
    <x v="0"/>
    <s v="Afi"/>
    <x v="5"/>
    <x v="2"/>
    <n v="10"/>
    <n v="700"/>
    <x v="5"/>
    <s v="Espèces"/>
    <s v="avril"/>
    <s v="Oui"/>
  </r>
  <r>
    <s v="V0253"/>
    <d v="2026-05-01T00:00:00"/>
    <x v="1"/>
    <s v="Kofi"/>
    <x v="0"/>
    <x v="0"/>
    <n v="2"/>
    <n v="3500"/>
    <x v="5"/>
    <s v="Flooz"/>
    <s v="mai"/>
    <s v="Oui"/>
  </r>
  <r>
    <s v="V0315"/>
    <d v="2026-05-30T00:00:00"/>
    <x v="0"/>
    <s v="Yawo"/>
    <x v="0"/>
    <x v="0"/>
    <n v="2"/>
    <n v="3500"/>
    <x v="5"/>
    <s v="Espèces"/>
    <s v="mai"/>
    <s v="Oui"/>
  </r>
  <r>
    <s v="V0375"/>
    <d v="2026-06-21T00:00:00"/>
    <x v="0"/>
    <s v="Afi"/>
    <x v="0"/>
    <x v="0"/>
    <n v="2"/>
    <n v="3500"/>
    <x v="5"/>
    <s v="Flooz"/>
    <s v="juin"/>
    <s v="Oui"/>
  </r>
  <r>
    <s v="V0398"/>
    <d v="2026-06-29T00:00:00"/>
    <x v="1"/>
    <s v="Kofi"/>
    <x v="0"/>
    <x v="0"/>
    <n v="2"/>
    <n v="3500"/>
    <x v="5"/>
    <s v="Espèces"/>
    <s v="juin"/>
    <s v="Oui"/>
  </r>
  <r>
    <s v="V0082"/>
    <d v="2026-02-07T00:00:00"/>
    <x v="0"/>
    <s v="Yawo"/>
    <x v="6"/>
    <x v="3"/>
    <n v="10"/>
    <n v="600"/>
    <x v="6"/>
    <s v="Espèces"/>
    <s v="février"/>
    <s v="Oui"/>
  </r>
  <r>
    <s v="V0159"/>
    <d v="2026-03-20T00:00:00"/>
    <x v="2"/>
    <s v="Essi"/>
    <x v="1"/>
    <x v="1"/>
    <n v="6"/>
    <n v="1000"/>
    <x v="6"/>
    <s v="Espèces"/>
    <s v="mars"/>
    <s v="Oui"/>
  </r>
  <r>
    <s v="V0187"/>
    <d v="2026-04-05T00:00:00"/>
    <x v="0"/>
    <s v="Yawo"/>
    <x v="1"/>
    <x v="1"/>
    <n v="6"/>
    <n v="1000"/>
    <x v="6"/>
    <s v="T-Money"/>
    <s v="avril"/>
    <s v="Oui"/>
  </r>
  <r>
    <s v="V0270"/>
    <d v="2026-05-12T00:00:00"/>
    <x v="2"/>
    <s v="Komla"/>
    <x v="1"/>
    <x v="1"/>
    <n v="6"/>
    <n v="1000"/>
    <x v="6"/>
    <s v="Espèces"/>
    <s v="mai"/>
    <s v="Oui"/>
  </r>
  <r>
    <s v="V0295"/>
    <d v="2026-05-22T00:00:00"/>
    <x v="2"/>
    <s v="Essi"/>
    <x v="1"/>
    <x v="1"/>
    <n v="6"/>
    <n v="1000"/>
    <x v="6"/>
    <s v="Espèces"/>
    <s v="mai"/>
    <s v="Oui"/>
  </r>
  <r>
    <s v="V0385"/>
    <d v="2026-06-25T00:00:00"/>
    <x v="2"/>
    <s v="Komla"/>
    <x v="6"/>
    <x v="3"/>
    <n v="10"/>
    <n v="600"/>
    <x v="6"/>
    <s v="T-Money"/>
    <s v="juin"/>
    <s v="Oui"/>
  </r>
  <r>
    <s v="V0326"/>
    <d v="2026-06-04T00:00:00"/>
    <x v="1"/>
    <s v="Kofi"/>
    <x v="2"/>
    <x v="2"/>
    <n v="6"/>
    <n v="900"/>
    <x v="7"/>
    <s v="Espèces"/>
    <s v="juin"/>
    <s v="Oui"/>
  </r>
  <r>
    <s v="V0015"/>
    <d v="2026-01-11T00:00:00"/>
    <x v="0"/>
    <s v="Yawo"/>
    <x v="4"/>
    <x v="0"/>
    <n v="2"/>
    <n v="2500"/>
    <x v="8"/>
    <s v="Espèces"/>
    <s v="janvier"/>
    <s v="Non"/>
  </r>
  <r>
    <s v="V0065"/>
    <d v="2026-02-01T00:00:00"/>
    <x v="1"/>
    <s v="Kofi"/>
    <x v="7"/>
    <x v="1"/>
    <n v="10"/>
    <n v="500"/>
    <x v="8"/>
    <s v="Espèces"/>
    <s v="février"/>
    <s v="Non"/>
  </r>
  <r>
    <s v="V0069"/>
    <d v="2026-02-02T00:00:00"/>
    <x v="0"/>
    <s v="Afi"/>
    <x v="7"/>
    <x v="1"/>
    <n v="10"/>
    <n v="500"/>
    <x v="8"/>
    <s v="Espèces"/>
    <s v="février"/>
    <s v="Non"/>
  </r>
  <r>
    <s v="V0090"/>
    <d v="2026-02-10T00:00:00"/>
    <x v="0"/>
    <s v="Afi"/>
    <x v="1"/>
    <x v="1"/>
    <n v="5"/>
    <n v="1000"/>
    <x v="8"/>
    <s v="Espèces"/>
    <s v="février"/>
    <s v="Non"/>
  </r>
  <r>
    <s v="V0095"/>
    <d v="2026-02-12T00:00:00"/>
    <x v="2"/>
    <s v="Essi"/>
    <x v="4"/>
    <x v="0"/>
    <n v="2"/>
    <n v="2500"/>
    <x v="8"/>
    <s v="Espèces"/>
    <s v="février"/>
    <s v="Non"/>
  </r>
  <r>
    <s v="V0106"/>
    <d v="2026-02-17T00:00:00"/>
    <x v="0"/>
    <s v="Afi"/>
    <x v="4"/>
    <x v="0"/>
    <n v="2"/>
    <n v="2500"/>
    <x v="8"/>
    <s v="Espèces"/>
    <s v="février"/>
    <s v="Non"/>
  </r>
  <r>
    <s v="V0162"/>
    <d v="2026-03-22T00:00:00"/>
    <x v="0"/>
    <s v="Yawo"/>
    <x v="7"/>
    <x v="1"/>
    <n v="10"/>
    <n v="500"/>
    <x v="8"/>
    <s v="Espèces"/>
    <s v="mars"/>
    <s v="Non"/>
  </r>
  <r>
    <s v="V0169"/>
    <d v="2026-03-27T00:00:00"/>
    <x v="1"/>
    <s v="Kofi"/>
    <x v="4"/>
    <x v="0"/>
    <n v="2"/>
    <n v="2500"/>
    <x v="8"/>
    <s v="Espèces"/>
    <s v="mars"/>
    <s v="Non"/>
  </r>
  <r>
    <s v="V0230"/>
    <d v="2026-04-24T00:00:00"/>
    <x v="1"/>
    <s v="Kofi"/>
    <x v="4"/>
    <x v="0"/>
    <n v="2"/>
    <n v="2500"/>
    <x v="8"/>
    <s v="Espèces"/>
    <s v="avril"/>
    <s v="Non"/>
  </r>
  <r>
    <s v="V0275"/>
    <d v="2026-05-15T00:00:00"/>
    <x v="1"/>
    <s v="Kofi"/>
    <x v="1"/>
    <x v="1"/>
    <n v="5"/>
    <n v="1000"/>
    <x v="8"/>
    <s v="T-Money"/>
    <s v="mai"/>
    <s v="Non"/>
  </r>
  <r>
    <s v="V0280"/>
    <d v="2026-05-18T00:00:00"/>
    <x v="2"/>
    <s v="Komla"/>
    <x v="4"/>
    <x v="0"/>
    <n v="2"/>
    <n v="2500"/>
    <x v="8"/>
    <s v="Espèces"/>
    <s v="mai"/>
    <s v="Non"/>
  </r>
  <r>
    <s v="V0312"/>
    <d v="2026-05-29T00:00:00"/>
    <x v="2"/>
    <s v="Essi"/>
    <x v="1"/>
    <x v="1"/>
    <n v="5"/>
    <n v="1000"/>
    <x v="8"/>
    <s v="Espèces"/>
    <s v="mai"/>
    <s v="Non"/>
  </r>
  <r>
    <s v="V0325"/>
    <d v="2026-06-03T00:00:00"/>
    <x v="1"/>
    <s v="Kofi"/>
    <x v="4"/>
    <x v="0"/>
    <n v="2"/>
    <n v="2500"/>
    <x v="8"/>
    <s v="Espèces"/>
    <s v="juin"/>
    <s v="Non"/>
  </r>
  <r>
    <s v="V0358"/>
    <d v="2026-06-15T00:00:00"/>
    <x v="0"/>
    <s v="Afi"/>
    <x v="7"/>
    <x v="1"/>
    <n v="10"/>
    <n v="500"/>
    <x v="8"/>
    <s v="Espèces"/>
    <s v="juin"/>
    <s v="Non"/>
  </r>
  <r>
    <s v="V0400"/>
    <d v="2026-06-30T00:00:00"/>
    <x v="1"/>
    <s v="Ama"/>
    <x v="4"/>
    <x v="0"/>
    <n v="2"/>
    <n v="2500"/>
    <x v="8"/>
    <s v="Espèces"/>
    <s v="juin"/>
    <s v="Non"/>
  </r>
  <r>
    <s v="V0214"/>
    <d v="2026-04-17T00:00:00"/>
    <x v="1"/>
    <s v="Kofi"/>
    <x v="3"/>
    <x v="0"/>
    <n v="6"/>
    <n v="800"/>
    <x v="9"/>
    <s v="Flooz"/>
    <s v="avril"/>
    <s v="Non"/>
  </r>
  <r>
    <s v="V0236"/>
    <d v="2026-04-26T00:00:00"/>
    <x v="0"/>
    <s v="Afi"/>
    <x v="3"/>
    <x v="0"/>
    <n v="6"/>
    <n v="800"/>
    <x v="9"/>
    <s v="T-Money"/>
    <s v="avril"/>
    <s v="Non"/>
  </r>
  <r>
    <s v="V0132"/>
    <d v="2026-03-08T00:00:00"/>
    <x v="2"/>
    <s v="Essi"/>
    <x v="8"/>
    <x v="0"/>
    <n v="10"/>
    <n v="450"/>
    <x v="10"/>
    <s v="Espèces"/>
    <s v="mars"/>
    <s v="Non"/>
  </r>
  <r>
    <s v="V0160"/>
    <d v="2026-03-20T00:00:00"/>
    <x v="0"/>
    <s v="Yawo"/>
    <x v="9"/>
    <x v="0"/>
    <n v="3"/>
    <n v="1500"/>
    <x v="10"/>
    <s v="Espèces"/>
    <s v="mars"/>
    <s v="Non"/>
  </r>
  <r>
    <s v="V0212"/>
    <d v="2026-04-16T00:00:00"/>
    <x v="1"/>
    <s v="Ama"/>
    <x v="2"/>
    <x v="2"/>
    <n v="5"/>
    <n v="900"/>
    <x v="10"/>
    <s v="T-Money"/>
    <s v="avril"/>
    <s v="Non"/>
  </r>
  <r>
    <s v="V0239"/>
    <d v="2026-04-27T00:00:00"/>
    <x v="2"/>
    <s v="Essi"/>
    <x v="9"/>
    <x v="0"/>
    <n v="3"/>
    <n v="1500"/>
    <x v="10"/>
    <s v="Espèces"/>
    <s v="avril"/>
    <s v="Non"/>
  </r>
  <r>
    <s v="V0286"/>
    <d v="2026-05-19T00:00:00"/>
    <x v="0"/>
    <s v="Yawo"/>
    <x v="9"/>
    <x v="0"/>
    <n v="3"/>
    <n v="1500"/>
    <x v="10"/>
    <s v="Flooz"/>
    <s v="mai"/>
    <s v="Non"/>
  </r>
  <r>
    <s v="V0304"/>
    <d v="2026-05-26T00:00:00"/>
    <x v="1"/>
    <s v="Kofi"/>
    <x v="2"/>
    <x v="2"/>
    <n v="5"/>
    <n v="900"/>
    <x v="10"/>
    <s v="T-Money"/>
    <s v="mai"/>
    <s v="Non"/>
  </r>
  <r>
    <s v="V0352"/>
    <d v="2026-06-14T00:00:00"/>
    <x v="1"/>
    <s v="Ama"/>
    <x v="2"/>
    <x v="2"/>
    <n v="5"/>
    <n v="900"/>
    <x v="10"/>
    <s v="T-Money"/>
    <s v="juin"/>
    <s v="Non"/>
  </r>
  <r>
    <s v="V0392"/>
    <d v="2026-06-27T00:00:00"/>
    <x v="2"/>
    <s v="Komla"/>
    <x v="2"/>
    <x v="2"/>
    <n v="5"/>
    <n v="900"/>
    <x v="10"/>
    <s v="Espèces"/>
    <s v="juin"/>
    <s v="Non"/>
  </r>
  <r>
    <s v="V0058"/>
    <d v="2026-01-29T00:00:00"/>
    <x v="0"/>
    <s v="Yawo"/>
    <x v="5"/>
    <x v="2"/>
    <n v="6"/>
    <n v="700"/>
    <x v="11"/>
    <s v="Espèces"/>
    <s v="janvier"/>
    <s v="Non"/>
  </r>
  <r>
    <s v="V0060"/>
    <d v="2026-01-30T00:00:00"/>
    <x v="0"/>
    <s v="Yawo"/>
    <x v="5"/>
    <x v="2"/>
    <n v="6"/>
    <n v="700"/>
    <x v="11"/>
    <s v="Espèces"/>
    <s v="janvier"/>
    <s v="Non"/>
  </r>
  <r>
    <s v="V0074"/>
    <d v="2026-02-05T00:00:00"/>
    <x v="2"/>
    <s v="Komla"/>
    <x v="5"/>
    <x v="2"/>
    <n v="6"/>
    <n v="700"/>
    <x v="11"/>
    <s v="Espèces"/>
    <s v="février"/>
    <s v="Non"/>
  </r>
  <r>
    <s v="V0146"/>
    <d v="2026-03-13T00:00:00"/>
    <x v="0"/>
    <s v="Afi"/>
    <x v="5"/>
    <x v="2"/>
    <n v="6"/>
    <n v="700"/>
    <x v="11"/>
    <s v="Espèces"/>
    <s v="mars"/>
    <s v="Non"/>
  </r>
  <r>
    <s v="V0331"/>
    <d v="2026-06-06T00:00:00"/>
    <x v="2"/>
    <s v="Komla"/>
    <x v="5"/>
    <x v="2"/>
    <n v="6"/>
    <n v="700"/>
    <x v="11"/>
    <s v="Espèces"/>
    <s v="juin"/>
    <s v="Non"/>
  </r>
  <r>
    <s v="V0049"/>
    <d v="2026-01-27T00:00:00"/>
    <x v="2"/>
    <s v="Komla"/>
    <x v="3"/>
    <x v="0"/>
    <n v="5"/>
    <n v="800"/>
    <x v="12"/>
    <s v="Espèces"/>
    <s v="janvier"/>
    <s v="Non"/>
  </r>
  <r>
    <s v="V0165"/>
    <d v="2026-03-27T00:00:00"/>
    <x v="1"/>
    <s v="Ama"/>
    <x v="3"/>
    <x v="0"/>
    <n v="5"/>
    <n v="800"/>
    <x v="12"/>
    <s v="Espèces"/>
    <s v="mars"/>
    <s v="Non"/>
  </r>
  <r>
    <s v="V0229"/>
    <d v="2026-04-24T00:00:00"/>
    <x v="0"/>
    <s v="Afi"/>
    <x v="10"/>
    <x v="0"/>
    <n v="10"/>
    <n v="400"/>
    <x v="12"/>
    <s v="T-Money"/>
    <s v="avril"/>
    <s v="Non"/>
  </r>
  <r>
    <s v="V0254"/>
    <d v="2026-05-02T00:00:00"/>
    <x v="2"/>
    <s v="Komla"/>
    <x v="1"/>
    <x v="1"/>
    <n v="4"/>
    <n v="1000"/>
    <x v="12"/>
    <s v="Flooz"/>
    <s v="mai"/>
    <s v="Non"/>
  </r>
  <r>
    <s v="V0293"/>
    <d v="2026-05-22T00:00:00"/>
    <x v="1"/>
    <s v="Ama"/>
    <x v="10"/>
    <x v="0"/>
    <n v="10"/>
    <n v="400"/>
    <x v="12"/>
    <s v="Espèces"/>
    <s v="mai"/>
    <s v="Non"/>
  </r>
  <r>
    <s v="V0308"/>
    <d v="2026-05-28T00:00:00"/>
    <x v="1"/>
    <s v="Ama"/>
    <x v="1"/>
    <x v="1"/>
    <n v="4"/>
    <n v="1000"/>
    <x v="12"/>
    <s v="Espèces"/>
    <s v="mai"/>
    <s v="Non"/>
  </r>
  <r>
    <s v="V0339"/>
    <d v="2026-06-09T00:00:00"/>
    <x v="1"/>
    <s v="Kofi"/>
    <x v="3"/>
    <x v="0"/>
    <n v="5"/>
    <n v="800"/>
    <x v="12"/>
    <s v="T-Money"/>
    <s v="juin"/>
    <s v="Non"/>
  </r>
  <r>
    <s v="V0374"/>
    <d v="2026-06-20T00:00:00"/>
    <x v="0"/>
    <s v="Yawo"/>
    <x v="10"/>
    <x v="0"/>
    <n v="10"/>
    <n v="400"/>
    <x v="12"/>
    <s v="Espèces"/>
    <s v="juin"/>
    <s v="Non"/>
  </r>
  <r>
    <s v="V0381"/>
    <d v="2026-06-23T00:00:00"/>
    <x v="0"/>
    <s v="Afi"/>
    <x v="10"/>
    <x v="0"/>
    <n v="10"/>
    <n v="400"/>
    <x v="12"/>
    <s v="Flooz"/>
    <s v="juin"/>
    <s v="Non"/>
  </r>
  <r>
    <s v="V0033"/>
    <d v="2026-01-20T00:00:00"/>
    <x v="1"/>
    <s v="Kofi"/>
    <x v="11"/>
    <x v="3"/>
    <n v="3"/>
    <n v="1200"/>
    <x v="13"/>
    <s v="T-Money"/>
    <s v="janvier"/>
    <s v="Non"/>
  </r>
  <r>
    <s v="V0109"/>
    <d v="2026-02-18T00:00:00"/>
    <x v="1"/>
    <s v="Kofi"/>
    <x v="2"/>
    <x v="2"/>
    <n v="4"/>
    <n v="900"/>
    <x v="13"/>
    <s v="Espèces"/>
    <s v="février"/>
    <s v="Non"/>
  </r>
  <r>
    <s v="V0117"/>
    <d v="2026-02-24T00:00:00"/>
    <x v="1"/>
    <s v="Ama"/>
    <x v="6"/>
    <x v="3"/>
    <n v="6"/>
    <n v="600"/>
    <x v="13"/>
    <s v="T-Money"/>
    <s v="février"/>
    <s v="Non"/>
  </r>
  <r>
    <s v="V0138"/>
    <d v="2026-03-09T00:00:00"/>
    <x v="2"/>
    <s v="Essi"/>
    <x v="11"/>
    <x v="3"/>
    <n v="3"/>
    <n v="1200"/>
    <x v="13"/>
    <s v="Flooz"/>
    <s v="mars"/>
    <s v="Non"/>
  </r>
  <r>
    <s v="V0233"/>
    <d v="2026-04-25T00:00:00"/>
    <x v="2"/>
    <s v="Essi"/>
    <x v="11"/>
    <x v="3"/>
    <n v="3"/>
    <n v="1200"/>
    <x v="13"/>
    <s v="Espèces"/>
    <s v="avril"/>
    <s v="Non"/>
  </r>
  <r>
    <s v="V0265"/>
    <d v="2026-05-08T00:00:00"/>
    <x v="2"/>
    <s v="Essi"/>
    <x v="6"/>
    <x v="3"/>
    <n v="6"/>
    <n v="600"/>
    <x v="13"/>
    <s v="Espèces"/>
    <s v="mai"/>
    <s v="Non"/>
  </r>
  <r>
    <s v="V0310"/>
    <d v="2026-05-28T00:00:00"/>
    <x v="0"/>
    <s v="Afi"/>
    <x v="2"/>
    <x v="2"/>
    <n v="4"/>
    <n v="900"/>
    <x v="13"/>
    <s v="Espèces"/>
    <s v="mai"/>
    <s v="Non"/>
  </r>
  <r>
    <s v="V0330"/>
    <d v="2026-06-05T00:00:00"/>
    <x v="1"/>
    <s v="Ama"/>
    <x v="11"/>
    <x v="3"/>
    <n v="3"/>
    <n v="1200"/>
    <x v="13"/>
    <s v="Espèces"/>
    <s v="juin"/>
    <s v="Non"/>
  </r>
  <r>
    <s v="V0006"/>
    <d v="2026-01-05T00:00:00"/>
    <x v="1"/>
    <s v="Ama"/>
    <x v="0"/>
    <x v="0"/>
    <n v="1"/>
    <n v="3500"/>
    <x v="14"/>
    <s v="T-Money"/>
    <s v="janvier"/>
    <s v="Non"/>
  </r>
  <r>
    <s v="V0036"/>
    <d v="2026-01-22T00:00:00"/>
    <x v="2"/>
    <s v="Komla"/>
    <x v="0"/>
    <x v="0"/>
    <n v="1"/>
    <n v="3500"/>
    <x v="14"/>
    <s v="T-Money"/>
    <s v="janvier"/>
    <s v="Non"/>
  </r>
  <r>
    <s v="V0052"/>
    <d v="2026-01-28T00:00:00"/>
    <x v="0"/>
    <s v="Afi"/>
    <x v="5"/>
    <x v="2"/>
    <n v="5"/>
    <n v="700"/>
    <x v="14"/>
    <s v="T-Money"/>
    <s v="janvier"/>
    <s v="Non"/>
  </r>
  <r>
    <s v="V0073"/>
    <d v="2026-02-04T00:00:00"/>
    <x v="1"/>
    <s v="Ama"/>
    <x v="0"/>
    <x v="0"/>
    <n v="1"/>
    <n v="3500"/>
    <x v="14"/>
    <s v="Espèces"/>
    <s v="février"/>
    <s v="Non"/>
  </r>
  <r>
    <s v="V0076"/>
    <d v="2026-02-05T00:00:00"/>
    <x v="0"/>
    <s v="Yawo"/>
    <x v="5"/>
    <x v="2"/>
    <n v="5"/>
    <n v="700"/>
    <x v="14"/>
    <s v="Flooz"/>
    <s v="février"/>
    <s v="Non"/>
  </r>
  <r>
    <s v="V0080"/>
    <d v="2026-02-06T00:00:00"/>
    <x v="2"/>
    <s v="Essi"/>
    <x v="0"/>
    <x v="0"/>
    <n v="1"/>
    <n v="3500"/>
    <x v="14"/>
    <s v="Espèces"/>
    <s v="février"/>
    <s v="Non"/>
  </r>
  <r>
    <s v="V0081"/>
    <d v="2026-02-07T00:00:00"/>
    <x v="0"/>
    <s v="Yawo"/>
    <x v="0"/>
    <x v="0"/>
    <n v="1"/>
    <n v="3500"/>
    <x v="14"/>
    <s v="Espèces"/>
    <s v="février"/>
    <s v="Non"/>
  </r>
  <r>
    <s v="V0122"/>
    <d v="2026-02-27T00:00:00"/>
    <x v="1"/>
    <s v="Kofi"/>
    <x v="0"/>
    <x v="0"/>
    <n v="1"/>
    <n v="3500"/>
    <x v="14"/>
    <s v="Espèces"/>
    <s v="février"/>
    <s v="Non"/>
  </r>
  <r>
    <s v="V0127"/>
    <d v="2026-03-03T00:00:00"/>
    <x v="2"/>
    <s v="Essi"/>
    <x v="5"/>
    <x v="2"/>
    <n v="5"/>
    <n v="700"/>
    <x v="14"/>
    <s v="Espèces"/>
    <s v="mars"/>
    <s v="Non"/>
  </r>
  <r>
    <s v="V0129"/>
    <d v="2026-03-05T00:00:00"/>
    <x v="1"/>
    <s v="Kofi"/>
    <x v="0"/>
    <x v="0"/>
    <n v="1"/>
    <n v="3500"/>
    <x v="14"/>
    <s v="Flooz"/>
    <s v="mars"/>
    <s v="Non"/>
  </r>
  <r>
    <s v="V0201"/>
    <d v="2026-04-12T00:00:00"/>
    <x v="2"/>
    <s v="Komla"/>
    <x v="0"/>
    <x v="0"/>
    <n v="1"/>
    <n v="3500"/>
    <x v="14"/>
    <s v="Espèces"/>
    <s v="avril"/>
    <s v="Non"/>
  </r>
  <r>
    <s v="V0269"/>
    <d v="2026-05-11T00:00:00"/>
    <x v="0"/>
    <s v="Yawo"/>
    <x v="0"/>
    <x v="0"/>
    <n v="1"/>
    <n v="3500"/>
    <x v="14"/>
    <s v="Espèces"/>
    <s v="mai"/>
    <s v="Non"/>
  </r>
  <r>
    <s v="V0277"/>
    <d v="2026-05-16T00:00:00"/>
    <x v="1"/>
    <s v="Kofi"/>
    <x v="0"/>
    <x v="0"/>
    <n v="1"/>
    <n v="3500"/>
    <x v="14"/>
    <s v="Espèces"/>
    <s v="mai"/>
    <s v="Non"/>
  </r>
  <r>
    <s v="V0278"/>
    <d v="2026-05-17T00:00:00"/>
    <x v="1"/>
    <s v="Kofi"/>
    <x v="5"/>
    <x v="2"/>
    <n v="5"/>
    <n v="700"/>
    <x v="14"/>
    <s v="Flooz"/>
    <s v="mai"/>
    <s v="Non"/>
  </r>
  <r>
    <s v="V0285"/>
    <d v="2026-05-19T00:00:00"/>
    <x v="0"/>
    <s v="Afi"/>
    <x v="0"/>
    <x v="0"/>
    <n v="1"/>
    <n v="3500"/>
    <x v="14"/>
    <s v="T-Money"/>
    <s v="mai"/>
    <s v="Non"/>
  </r>
  <r>
    <s v="V0004"/>
    <d v="2026-01-04T00:00:00"/>
    <x v="1"/>
    <s v="Kofi"/>
    <x v="3"/>
    <x v="0"/>
    <n v="4"/>
    <n v="800"/>
    <x v="15"/>
    <s v="Espèces"/>
    <s v="janvier"/>
    <s v="Non"/>
  </r>
  <r>
    <s v="V0077"/>
    <d v="2026-02-05T00:00:00"/>
    <x v="0"/>
    <s v="Afi"/>
    <x v="3"/>
    <x v="0"/>
    <n v="4"/>
    <n v="800"/>
    <x v="15"/>
    <s v="Flooz"/>
    <s v="février"/>
    <s v="Non"/>
  </r>
  <r>
    <s v="V0114"/>
    <d v="2026-02-24T00:00:00"/>
    <x v="0"/>
    <s v="Yawo"/>
    <x v="3"/>
    <x v="0"/>
    <n v="4"/>
    <n v="800"/>
    <x v="15"/>
    <s v="Espèces"/>
    <s v="février"/>
    <s v="Non"/>
  </r>
  <r>
    <s v="V0038"/>
    <d v="2026-01-22T00:00:00"/>
    <x v="2"/>
    <s v="Essi"/>
    <x v="9"/>
    <x v="0"/>
    <n v="2"/>
    <n v="1500"/>
    <x v="16"/>
    <s v="T-Money"/>
    <s v="janvier"/>
    <s v="Non"/>
  </r>
  <r>
    <s v="V0045"/>
    <d v="2026-01-24T00:00:00"/>
    <x v="2"/>
    <s v="Komla"/>
    <x v="12"/>
    <x v="2"/>
    <n v="10"/>
    <n v="300"/>
    <x v="16"/>
    <s v="Espèces"/>
    <s v="janvier"/>
    <s v="Non"/>
  </r>
  <r>
    <s v="V0068"/>
    <d v="2026-02-02T00:00:00"/>
    <x v="2"/>
    <s v="Komla"/>
    <x v="9"/>
    <x v="0"/>
    <n v="2"/>
    <n v="1500"/>
    <x v="16"/>
    <s v="Espèces"/>
    <s v="février"/>
    <s v="Non"/>
  </r>
  <r>
    <s v="V0084"/>
    <d v="2026-02-08T00:00:00"/>
    <x v="0"/>
    <s v="Yawo"/>
    <x v="7"/>
    <x v="1"/>
    <n v="6"/>
    <n v="500"/>
    <x v="16"/>
    <s v="T-Money"/>
    <s v="février"/>
    <s v="Non"/>
  </r>
  <r>
    <s v="V0085"/>
    <d v="2026-02-09T00:00:00"/>
    <x v="2"/>
    <s v="Komla"/>
    <x v="9"/>
    <x v="0"/>
    <n v="2"/>
    <n v="1500"/>
    <x v="16"/>
    <s v="Espèces"/>
    <s v="février"/>
    <s v="Non"/>
  </r>
  <r>
    <s v="V0111"/>
    <d v="2026-02-19T00:00:00"/>
    <x v="0"/>
    <s v="Afi"/>
    <x v="9"/>
    <x v="0"/>
    <n v="2"/>
    <n v="1500"/>
    <x v="16"/>
    <s v="Espèces"/>
    <s v="février"/>
    <s v="Non"/>
  </r>
  <r>
    <s v="V0120"/>
    <d v="2026-02-26T00:00:00"/>
    <x v="0"/>
    <s v="Yawo"/>
    <x v="9"/>
    <x v="0"/>
    <n v="2"/>
    <n v="1500"/>
    <x v="16"/>
    <s v="T-Money"/>
    <s v="février"/>
    <s v="Non"/>
  </r>
  <r>
    <s v="V0156"/>
    <d v="2026-03-19T00:00:00"/>
    <x v="1"/>
    <s v="Kofi"/>
    <x v="9"/>
    <x v="0"/>
    <n v="2"/>
    <n v="1500"/>
    <x v="16"/>
    <s v="T-Money"/>
    <s v="mars"/>
    <s v="Non"/>
  </r>
  <r>
    <s v="V0191"/>
    <d v="2026-04-07T00:00:00"/>
    <x v="0"/>
    <s v="Yawo"/>
    <x v="9"/>
    <x v="0"/>
    <n v="2"/>
    <n v="1500"/>
    <x v="16"/>
    <s v="T-Money"/>
    <s v="avril"/>
    <s v="Non"/>
  </r>
  <r>
    <s v="V0192"/>
    <d v="2026-04-08T00:00:00"/>
    <x v="2"/>
    <s v="Komla"/>
    <x v="12"/>
    <x v="2"/>
    <n v="10"/>
    <n v="300"/>
    <x v="16"/>
    <s v="Espèces"/>
    <s v="avril"/>
    <s v="Non"/>
  </r>
  <r>
    <s v="V0200"/>
    <d v="2026-04-12T00:00:00"/>
    <x v="2"/>
    <s v="Essi"/>
    <x v="9"/>
    <x v="0"/>
    <n v="2"/>
    <n v="1500"/>
    <x v="16"/>
    <s v="Espèces"/>
    <s v="avril"/>
    <s v="Non"/>
  </r>
  <r>
    <s v="V0208"/>
    <d v="2026-04-14T00:00:00"/>
    <x v="0"/>
    <s v="Afi"/>
    <x v="9"/>
    <x v="0"/>
    <n v="2"/>
    <n v="1500"/>
    <x v="16"/>
    <s v="T-Money"/>
    <s v="avril"/>
    <s v="Non"/>
  </r>
  <r>
    <s v="V0247"/>
    <d v="2026-04-30T00:00:00"/>
    <x v="0"/>
    <s v="Yawo"/>
    <x v="9"/>
    <x v="0"/>
    <n v="2"/>
    <n v="1500"/>
    <x v="16"/>
    <s v="Flooz"/>
    <s v="avril"/>
    <s v="Non"/>
  </r>
  <r>
    <s v="V0279"/>
    <d v="2026-05-18T00:00:00"/>
    <x v="1"/>
    <s v="Ama"/>
    <x v="9"/>
    <x v="0"/>
    <n v="2"/>
    <n v="1500"/>
    <x v="16"/>
    <s v="Espèces"/>
    <s v="mai"/>
    <s v="Non"/>
  </r>
  <r>
    <s v="V0282"/>
    <d v="2026-05-18T00:00:00"/>
    <x v="1"/>
    <s v="Ama"/>
    <x v="1"/>
    <x v="1"/>
    <n v="3"/>
    <n v="1000"/>
    <x v="16"/>
    <s v="T-Money"/>
    <s v="mai"/>
    <s v="Non"/>
  </r>
  <r>
    <s v="V0317"/>
    <d v="2026-05-30T00:00:00"/>
    <x v="0"/>
    <s v="Afi"/>
    <x v="9"/>
    <x v="0"/>
    <n v="2"/>
    <n v="1500"/>
    <x v="16"/>
    <s v="Espèces"/>
    <s v="mai"/>
    <s v="Non"/>
  </r>
  <r>
    <s v="V0337"/>
    <d v="2026-06-09T00:00:00"/>
    <x v="2"/>
    <s v="Komla"/>
    <x v="9"/>
    <x v="0"/>
    <n v="2"/>
    <n v="1500"/>
    <x v="16"/>
    <s v="Espèces"/>
    <s v="juin"/>
    <s v="Non"/>
  </r>
  <r>
    <s v="V0399"/>
    <d v="2026-06-30T00:00:00"/>
    <x v="1"/>
    <s v="Ama"/>
    <x v="9"/>
    <x v="0"/>
    <n v="2"/>
    <n v="1500"/>
    <x v="16"/>
    <s v="Flooz"/>
    <s v="juin"/>
    <s v="Non"/>
  </r>
  <r>
    <s v="V0108"/>
    <d v="2026-02-18T00:00:00"/>
    <x v="1"/>
    <s v="Kofi"/>
    <x v="5"/>
    <x v="2"/>
    <n v="4"/>
    <n v="700"/>
    <x v="17"/>
    <s v="Espèces"/>
    <s v="février"/>
    <s v="Non"/>
  </r>
  <r>
    <s v="V0154"/>
    <d v="2026-03-18T00:00:00"/>
    <x v="2"/>
    <s v="Essi"/>
    <x v="5"/>
    <x v="2"/>
    <n v="4"/>
    <n v="700"/>
    <x v="17"/>
    <s v="Espèces"/>
    <s v="mars"/>
    <s v="Non"/>
  </r>
  <r>
    <s v="V0244"/>
    <d v="2026-04-29T00:00:00"/>
    <x v="2"/>
    <s v="Essi"/>
    <x v="5"/>
    <x v="2"/>
    <n v="4"/>
    <n v="700"/>
    <x v="17"/>
    <s v="Espèces"/>
    <s v="avril"/>
    <s v="Non"/>
  </r>
  <r>
    <s v="V0371"/>
    <d v="2026-06-19T00:00:00"/>
    <x v="1"/>
    <s v="Kofi"/>
    <x v="5"/>
    <x v="2"/>
    <n v="4"/>
    <n v="700"/>
    <x v="17"/>
    <s v="Espèces"/>
    <s v="juin"/>
    <s v="Non"/>
  </r>
  <r>
    <s v="V0376"/>
    <d v="2026-06-21T00:00:00"/>
    <x v="2"/>
    <s v="Komla"/>
    <x v="5"/>
    <x v="2"/>
    <n v="4"/>
    <n v="700"/>
    <x v="17"/>
    <s v="Espèces"/>
    <s v="juin"/>
    <s v="Non"/>
  </r>
  <r>
    <s v="V0391"/>
    <d v="2026-06-27T00:00:00"/>
    <x v="0"/>
    <s v="Afi"/>
    <x v="5"/>
    <x v="2"/>
    <n v="4"/>
    <n v="700"/>
    <x v="17"/>
    <s v="T-Money"/>
    <s v="juin"/>
    <s v="Non"/>
  </r>
  <r>
    <s v="V0025"/>
    <d v="2026-01-15T00:00:00"/>
    <x v="2"/>
    <s v="Komla"/>
    <x v="2"/>
    <x v="2"/>
    <n v="3"/>
    <n v="900"/>
    <x v="18"/>
    <s v="Espèces"/>
    <s v="janvier"/>
    <s v="Non"/>
  </r>
  <r>
    <s v="V0043"/>
    <d v="2026-01-24T00:00:00"/>
    <x v="0"/>
    <s v="Yawo"/>
    <x v="2"/>
    <x v="2"/>
    <n v="3"/>
    <n v="900"/>
    <x v="18"/>
    <s v="T-Money"/>
    <s v="janvier"/>
    <s v="Non"/>
  </r>
  <r>
    <s v="V0089"/>
    <d v="2026-02-10T00:00:00"/>
    <x v="0"/>
    <s v="Afi"/>
    <x v="2"/>
    <x v="2"/>
    <n v="3"/>
    <n v="900"/>
    <x v="18"/>
    <s v="T-Money"/>
    <s v="février"/>
    <s v="Non"/>
  </r>
  <r>
    <s v="V0092"/>
    <d v="2026-02-12T00:00:00"/>
    <x v="0"/>
    <s v="Afi"/>
    <x v="8"/>
    <x v="0"/>
    <n v="6"/>
    <n v="450"/>
    <x v="18"/>
    <s v="T-Money"/>
    <s v="février"/>
    <s v="Non"/>
  </r>
  <r>
    <s v="V0189"/>
    <d v="2026-04-06T00:00:00"/>
    <x v="0"/>
    <s v="Yawo"/>
    <x v="8"/>
    <x v="0"/>
    <n v="6"/>
    <n v="450"/>
    <x v="18"/>
    <s v="Espèces"/>
    <s v="avril"/>
    <s v="Non"/>
  </r>
  <r>
    <s v="V0032"/>
    <d v="2026-01-20T00:00:00"/>
    <x v="1"/>
    <s v="Kofi"/>
    <x v="7"/>
    <x v="1"/>
    <n v="5"/>
    <n v="500"/>
    <x v="19"/>
    <s v="T-Money"/>
    <s v="janvier"/>
    <s v="Non"/>
  </r>
  <r>
    <s v="V0040"/>
    <d v="2026-01-23T00:00:00"/>
    <x v="1"/>
    <s v="Ama"/>
    <x v="7"/>
    <x v="1"/>
    <n v="5"/>
    <n v="500"/>
    <x v="19"/>
    <s v="Espèces"/>
    <s v="janvier"/>
    <s v="Non"/>
  </r>
  <r>
    <s v="V0087"/>
    <d v="2026-02-09T00:00:00"/>
    <x v="2"/>
    <s v="Essi"/>
    <x v="4"/>
    <x v="0"/>
    <n v="1"/>
    <n v="2500"/>
    <x v="19"/>
    <s v="Espèces"/>
    <s v="février"/>
    <s v="Non"/>
  </r>
  <r>
    <s v="V0088"/>
    <d v="2026-02-10T00:00:00"/>
    <x v="2"/>
    <s v="Essi"/>
    <x v="4"/>
    <x v="0"/>
    <n v="1"/>
    <n v="2500"/>
    <x v="19"/>
    <s v="Espèces"/>
    <s v="février"/>
    <s v="Non"/>
  </r>
  <r>
    <s v="V0101"/>
    <d v="2026-02-16T00:00:00"/>
    <x v="0"/>
    <s v="Yawo"/>
    <x v="4"/>
    <x v="0"/>
    <n v="1"/>
    <n v="2500"/>
    <x v="19"/>
    <s v="Espèces"/>
    <s v="février"/>
    <s v="Non"/>
  </r>
  <r>
    <s v="V0103"/>
    <d v="2026-02-16T00:00:00"/>
    <x v="2"/>
    <s v="Essi"/>
    <x v="4"/>
    <x v="0"/>
    <n v="1"/>
    <n v="2500"/>
    <x v="19"/>
    <s v="Espèces"/>
    <s v="février"/>
    <s v="Non"/>
  </r>
  <r>
    <s v="V0107"/>
    <d v="2026-02-17T00:00:00"/>
    <x v="1"/>
    <s v="Ama"/>
    <x v="4"/>
    <x v="0"/>
    <n v="1"/>
    <n v="2500"/>
    <x v="19"/>
    <s v="Espèces"/>
    <s v="février"/>
    <s v="Non"/>
  </r>
  <r>
    <s v="V0182"/>
    <d v="2026-04-03T00:00:00"/>
    <x v="1"/>
    <s v="Kofi"/>
    <x v="7"/>
    <x v="1"/>
    <n v="5"/>
    <n v="500"/>
    <x v="19"/>
    <s v="Espèces"/>
    <s v="avril"/>
    <s v="Non"/>
  </r>
  <r>
    <s v="V0183"/>
    <d v="2026-04-04T00:00:00"/>
    <x v="1"/>
    <s v="Ama"/>
    <x v="4"/>
    <x v="0"/>
    <n v="1"/>
    <n v="2500"/>
    <x v="19"/>
    <s v="T-Money"/>
    <s v="avril"/>
    <s v="Non"/>
  </r>
  <r>
    <s v="V0190"/>
    <d v="2026-04-06T00:00:00"/>
    <x v="1"/>
    <s v="Kofi"/>
    <x v="4"/>
    <x v="0"/>
    <n v="1"/>
    <n v="2500"/>
    <x v="19"/>
    <s v="T-Money"/>
    <s v="avril"/>
    <s v="Non"/>
  </r>
  <r>
    <s v="V0228"/>
    <d v="2026-04-23T00:00:00"/>
    <x v="2"/>
    <s v="Komla"/>
    <x v="4"/>
    <x v="0"/>
    <n v="1"/>
    <n v="2500"/>
    <x v="19"/>
    <s v="Flooz"/>
    <s v="avril"/>
    <s v="Non"/>
  </r>
  <r>
    <s v="V0235"/>
    <d v="2026-04-26T00:00:00"/>
    <x v="1"/>
    <s v="Kofi"/>
    <x v="4"/>
    <x v="0"/>
    <n v="1"/>
    <n v="2500"/>
    <x v="19"/>
    <s v="Espèces"/>
    <s v="avril"/>
    <s v="Non"/>
  </r>
  <r>
    <s v="V0246"/>
    <d v="2026-04-30T00:00:00"/>
    <x v="0"/>
    <s v="Afi"/>
    <x v="4"/>
    <x v="0"/>
    <n v="1"/>
    <n v="2500"/>
    <x v="19"/>
    <s v="T-Money"/>
    <s v="avril"/>
    <s v="Non"/>
  </r>
  <r>
    <s v="V0249"/>
    <d v="2026-05-01T00:00:00"/>
    <x v="0"/>
    <s v="Afi"/>
    <x v="4"/>
    <x v="0"/>
    <n v="1"/>
    <n v="2500"/>
    <x v="19"/>
    <s v="Flooz"/>
    <s v="mai"/>
    <s v="Non"/>
  </r>
  <r>
    <s v="V0343"/>
    <d v="2026-06-10T00:00:00"/>
    <x v="0"/>
    <s v="Afi"/>
    <x v="13"/>
    <x v="3"/>
    <n v="10"/>
    <n v="250"/>
    <x v="19"/>
    <s v="T-Money"/>
    <s v="juin"/>
    <s v="Non"/>
  </r>
  <r>
    <s v="V0364"/>
    <d v="2026-06-17T00:00:00"/>
    <x v="2"/>
    <s v="Komla"/>
    <x v="7"/>
    <x v="1"/>
    <n v="5"/>
    <n v="500"/>
    <x v="19"/>
    <s v="Flooz"/>
    <s v="juin"/>
    <s v="Non"/>
  </r>
  <r>
    <s v="V0368"/>
    <d v="2026-06-18T00:00:00"/>
    <x v="1"/>
    <s v="Ama"/>
    <x v="4"/>
    <x v="0"/>
    <n v="1"/>
    <n v="2500"/>
    <x v="19"/>
    <s v="Flooz"/>
    <s v="juin"/>
    <s v="Non"/>
  </r>
  <r>
    <s v="V0050"/>
    <d v="2026-01-28T00:00:00"/>
    <x v="0"/>
    <s v="Yawo"/>
    <x v="11"/>
    <x v="3"/>
    <n v="2"/>
    <n v="1200"/>
    <x v="20"/>
    <s v="Espèces"/>
    <s v="janvier"/>
    <s v="Non"/>
  </r>
  <r>
    <s v="V0125"/>
    <d v="2026-03-02T00:00:00"/>
    <x v="1"/>
    <s v="Kofi"/>
    <x v="6"/>
    <x v="3"/>
    <n v="4"/>
    <n v="600"/>
    <x v="20"/>
    <s v="Espèces"/>
    <s v="mars"/>
    <s v="Non"/>
  </r>
  <r>
    <s v="V0141"/>
    <d v="2026-03-11T00:00:00"/>
    <x v="0"/>
    <s v="Yawo"/>
    <x v="11"/>
    <x v="3"/>
    <n v="2"/>
    <n v="1200"/>
    <x v="20"/>
    <s v="Espèces"/>
    <s v="mars"/>
    <s v="Non"/>
  </r>
  <r>
    <s v="V0152"/>
    <d v="2026-03-18T00:00:00"/>
    <x v="2"/>
    <s v="Komla"/>
    <x v="3"/>
    <x v="0"/>
    <n v="3"/>
    <n v="800"/>
    <x v="20"/>
    <s v="T-Money"/>
    <s v="mars"/>
    <s v="Non"/>
  </r>
  <r>
    <s v="V0155"/>
    <d v="2026-03-18T00:00:00"/>
    <x v="2"/>
    <s v="Essi"/>
    <x v="14"/>
    <x v="1"/>
    <n v="6"/>
    <n v="400"/>
    <x v="20"/>
    <s v="Espèces"/>
    <s v="mars"/>
    <s v="Non"/>
  </r>
  <r>
    <s v="V0157"/>
    <d v="2026-03-19T00:00:00"/>
    <x v="2"/>
    <s v="Essi"/>
    <x v="10"/>
    <x v="0"/>
    <n v="6"/>
    <n v="400"/>
    <x v="20"/>
    <s v="Espèces"/>
    <s v="mars"/>
    <s v="Non"/>
  </r>
  <r>
    <s v="V0158"/>
    <d v="2026-03-19T00:00:00"/>
    <x v="1"/>
    <s v="Ama"/>
    <x v="11"/>
    <x v="3"/>
    <n v="2"/>
    <n v="1200"/>
    <x v="20"/>
    <s v="Espèces"/>
    <s v="mars"/>
    <s v="Non"/>
  </r>
  <r>
    <s v="V0197"/>
    <d v="2026-04-10T00:00:00"/>
    <x v="2"/>
    <s v="Komla"/>
    <x v="11"/>
    <x v="3"/>
    <n v="2"/>
    <n v="1200"/>
    <x v="20"/>
    <s v="Espèces"/>
    <s v="avril"/>
    <s v="Non"/>
  </r>
  <r>
    <s v="V0205"/>
    <d v="2026-04-14T00:00:00"/>
    <x v="2"/>
    <s v="Komla"/>
    <x v="11"/>
    <x v="3"/>
    <n v="2"/>
    <n v="1200"/>
    <x v="20"/>
    <s v="Flooz"/>
    <s v="avril"/>
    <s v="Non"/>
  </r>
  <r>
    <s v="V0210"/>
    <d v="2026-04-15T00:00:00"/>
    <x v="2"/>
    <s v="Komla"/>
    <x v="3"/>
    <x v="0"/>
    <n v="3"/>
    <n v="800"/>
    <x v="20"/>
    <s v="T-Money"/>
    <s v="avril"/>
    <s v="Non"/>
  </r>
  <r>
    <s v="V0224"/>
    <d v="2026-04-22T00:00:00"/>
    <x v="0"/>
    <s v="Afi"/>
    <x v="6"/>
    <x v="3"/>
    <n v="4"/>
    <n v="600"/>
    <x v="20"/>
    <s v="Espèces"/>
    <s v="avril"/>
    <s v="Non"/>
  </r>
  <r>
    <s v="V0225"/>
    <d v="2026-04-23T00:00:00"/>
    <x v="1"/>
    <s v="Kofi"/>
    <x v="6"/>
    <x v="3"/>
    <n v="4"/>
    <n v="600"/>
    <x v="20"/>
    <s v="T-Money"/>
    <s v="avril"/>
    <s v="Non"/>
  </r>
  <r>
    <s v="V0257"/>
    <d v="2026-05-04T00:00:00"/>
    <x v="0"/>
    <s v="Afi"/>
    <x v="14"/>
    <x v="1"/>
    <n v="6"/>
    <n v="400"/>
    <x v="20"/>
    <s v="Espèces"/>
    <s v="mai"/>
    <s v="Non"/>
  </r>
  <r>
    <s v="V0320"/>
    <d v="2026-06-01T00:00:00"/>
    <x v="0"/>
    <s v="Yawo"/>
    <x v="11"/>
    <x v="3"/>
    <n v="2"/>
    <n v="1200"/>
    <x v="20"/>
    <s v="Espèces"/>
    <s v="juin"/>
    <s v="Non"/>
  </r>
  <r>
    <s v="V0329"/>
    <d v="2026-06-05T00:00:00"/>
    <x v="1"/>
    <s v="Kofi"/>
    <x v="10"/>
    <x v="0"/>
    <n v="6"/>
    <n v="400"/>
    <x v="20"/>
    <s v="Espèces"/>
    <s v="juin"/>
    <s v="Non"/>
  </r>
  <r>
    <s v="V0338"/>
    <d v="2026-06-09T00:00:00"/>
    <x v="2"/>
    <s v="Komla"/>
    <x v="6"/>
    <x v="3"/>
    <n v="4"/>
    <n v="600"/>
    <x v="20"/>
    <s v="Espèces"/>
    <s v="juin"/>
    <s v="Non"/>
  </r>
  <r>
    <s v="V0366"/>
    <d v="2026-06-17T00:00:00"/>
    <x v="2"/>
    <s v="Essi"/>
    <x v="10"/>
    <x v="0"/>
    <n v="6"/>
    <n v="400"/>
    <x v="20"/>
    <s v="Espèces"/>
    <s v="juin"/>
    <s v="Non"/>
  </r>
  <r>
    <s v="V0369"/>
    <d v="2026-06-18T00:00:00"/>
    <x v="2"/>
    <s v="Essi"/>
    <x v="11"/>
    <x v="3"/>
    <n v="2"/>
    <n v="1200"/>
    <x v="20"/>
    <s v="Espèces"/>
    <s v="juin"/>
    <s v="Non"/>
  </r>
  <r>
    <s v="V0026"/>
    <d v="2026-01-17T00:00:00"/>
    <x v="1"/>
    <s v="Ama"/>
    <x v="8"/>
    <x v="0"/>
    <n v="5"/>
    <n v="450"/>
    <x v="21"/>
    <s v="Espèces"/>
    <s v="janvier"/>
    <s v="Non"/>
  </r>
  <r>
    <s v="V0039"/>
    <d v="2026-01-23T00:00:00"/>
    <x v="0"/>
    <s v="Afi"/>
    <x v="8"/>
    <x v="0"/>
    <n v="5"/>
    <n v="450"/>
    <x v="21"/>
    <s v="Espèces"/>
    <s v="janvier"/>
    <s v="Non"/>
  </r>
  <r>
    <s v="V0066"/>
    <d v="2026-02-01T00:00:00"/>
    <x v="1"/>
    <s v="Kofi"/>
    <x v="8"/>
    <x v="0"/>
    <n v="5"/>
    <n v="450"/>
    <x v="21"/>
    <s v="Espèces"/>
    <s v="février"/>
    <s v="Non"/>
  </r>
  <r>
    <s v="V0070"/>
    <d v="2026-02-03T00:00:00"/>
    <x v="2"/>
    <s v="Essi"/>
    <x v="8"/>
    <x v="0"/>
    <n v="5"/>
    <n v="450"/>
    <x v="21"/>
    <s v="T-Money"/>
    <s v="février"/>
    <s v="Non"/>
  </r>
  <r>
    <s v="V0147"/>
    <d v="2026-03-13T00:00:00"/>
    <x v="1"/>
    <s v="Ama"/>
    <x v="8"/>
    <x v="0"/>
    <n v="5"/>
    <n v="450"/>
    <x v="21"/>
    <s v="Espèces"/>
    <s v="mars"/>
    <s v="Non"/>
  </r>
  <r>
    <s v="V0037"/>
    <d v="2026-01-22T00:00:00"/>
    <x v="0"/>
    <s v="Afi"/>
    <x v="5"/>
    <x v="2"/>
    <n v="3"/>
    <n v="700"/>
    <x v="22"/>
    <s v="T-Money"/>
    <s v="janvier"/>
    <s v="Non"/>
  </r>
  <r>
    <s v="V0048"/>
    <d v="2026-01-26T00:00:00"/>
    <x v="2"/>
    <s v="Komla"/>
    <x v="5"/>
    <x v="2"/>
    <n v="3"/>
    <n v="700"/>
    <x v="22"/>
    <s v="Flooz"/>
    <s v="janvier"/>
    <s v="Non"/>
  </r>
  <r>
    <s v="V0126"/>
    <d v="2026-03-02T00:00:00"/>
    <x v="0"/>
    <s v="Yawo"/>
    <x v="5"/>
    <x v="2"/>
    <n v="3"/>
    <n v="700"/>
    <x v="22"/>
    <s v="Espèces"/>
    <s v="mars"/>
    <s v="Non"/>
  </r>
  <r>
    <s v="V0231"/>
    <d v="2026-04-24T00:00:00"/>
    <x v="1"/>
    <s v="Ama"/>
    <x v="5"/>
    <x v="2"/>
    <n v="3"/>
    <n v="700"/>
    <x v="22"/>
    <s v="T-Money"/>
    <s v="avril"/>
    <s v="Non"/>
  </r>
  <r>
    <s v="V0349"/>
    <d v="2026-06-13T00:00:00"/>
    <x v="2"/>
    <s v="Komla"/>
    <x v="5"/>
    <x v="2"/>
    <n v="3"/>
    <n v="700"/>
    <x v="22"/>
    <s v="T-Money"/>
    <s v="juin"/>
    <s v="Non"/>
  </r>
  <r>
    <s v="V0011"/>
    <d v="2026-01-08T00:00:00"/>
    <x v="1"/>
    <s v="Kofi"/>
    <x v="7"/>
    <x v="1"/>
    <n v="4"/>
    <n v="500"/>
    <x v="23"/>
    <s v="Espèces"/>
    <s v="janvier"/>
    <s v="Non"/>
  </r>
  <r>
    <s v="V0028"/>
    <d v="2026-01-19T00:00:00"/>
    <x v="2"/>
    <s v="Komla"/>
    <x v="10"/>
    <x v="0"/>
    <n v="5"/>
    <n v="400"/>
    <x v="23"/>
    <s v="Espèces"/>
    <s v="janvier"/>
    <s v="Non"/>
  </r>
  <r>
    <s v="V0062"/>
    <d v="2026-01-31T00:00:00"/>
    <x v="2"/>
    <s v="Komla"/>
    <x v="1"/>
    <x v="1"/>
    <n v="2"/>
    <n v="1000"/>
    <x v="23"/>
    <s v="Espèces"/>
    <s v="janvier"/>
    <s v="Non"/>
  </r>
  <r>
    <s v="V0075"/>
    <d v="2026-02-05T00:00:00"/>
    <x v="0"/>
    <s v="Yawo"/>
    <x v="10"/>
    <x v="0"/>
    <n v="5"/>
    <n v="400"/>
    <x v="23"/>
    <s v="Espèces"/>
    <s v="février"/>
    <s v="Non"/>
  </r>
  <r>
    <s v="V0091"/>
    <d v="2026-02-10T00:00:00"/>
    <x v="0"/>
    <s v="Afi"/>
    <x v="1"/>
    <x v="1"/>
    <n v="2"/>
    <n v="1000"/>
    <x v="23"/>
    <s v="T-Money"/>
    <s v="février"/>
    <s v="Non"/>
  </r>
  <r>
    <s v="V0110"/>
    <d v="2026-02-19T00:00:00"/>
    <x v="0"/>
    <s v="Afi"/>
    <x v="1"/>
    <x v="1"/>
    <n v="2"/>
    <n v="1000"/>
    <x v="23"/>
    <s v="T-Money"/>
    <s v="février"/>
    <s v="Non"/>
  </r>
  <r>
    <s v="V0124"/>
    <d v="2026-03-01T00:00:00"/>
    <x v="1"/>
    <s v="Ama"/>
    <x v="10"/>
    <x v="0"/>
    <n v="5"/>
    <n v="400"/>
    <x v="23"/>
    <s v="T-Money"/>
    <s v="mars"/>
    <s v="Non"/>
  </r>
  <r>
    <s v="V0139"/>
    <d v="2026-03-11T00:00:00"/>
    <x v="0"/>
    <s v="Afi"/>
    <x v="1"/>
    <x v="1"/>
    <n v="2"/>
    <n v="1000"/>
    <x v="23"/>
    <s v="Espèces"/>
    <s v="mars"/>
    <s v="Non"/>
  </r>
  <r>
    <s v="V0175"/>
    <d v="2026-03-29T00:00:00"/>
    <x v="1"/>
    <s v="Ama"/>
    <x v="14"/>
    <x v="1"/>
    <n v="5"/>
    <n v="400"/>
    <x v="23"/>
    <s v="Espèces"/>
    <s v="mars"/>
    <s v="Non"/>
  </r>
  <r>
    <s v="V0213"/>
    <d v="2026-04-16T00:00:00"/>
    <x v="0"/>
    <s v="Afi"/>
    <x v="7"/>
    <x v="1"/>
    <n v="4"/>
    <n v="500"/>
    <x v="23"/>
    <s v="T-Money"/>
    <s v="avril"/>
    <s v="Non"/>
  </r>
  <r>
    <s v="V0215"/>
    <d v="2026-04-18T00:00:00"/>
    <x v="2"/>
    <s v="Komla"/>
    <x v="1"/>
    <x v="1"/>
    <n v="2"/>
    <n v="1000"/>
    <x v="23"/>
    <s v="Espèces"/>
    <s v="avril"/>
    <s v="Non"/>
  </r>
  <r>
    <s v="V0218"/>
    <d v="2026-04-19T00:00:00"/>
    <x v="2"/>
    <s v="Komla"/>
    <x v="7"/>
    <x v="1"/>
    <n v="4"/>
    <n v="500"/>
    <x v="23"/>
    <s v="Espèces"/>
    <s v="avril"/>
    <s v="Non"/>
  </r>
  <r>
    <s v="V0227"/>
    <d v="2026-04-23T00:00:00"/>
    <x v="1"/>
    <s v="Ama"/>
    <x v="1"/>
    <x v="1"/>
    <n v="2"/>
    <n v="1000"/>
    <x v="23"/>
    <s v="T-Money"/>
    <s v="avril"/>
    <s v="Non"/>
  </r>
  <r>
    <s v="V0234"/>
    <d v="2026-04-25T00:00:00"/>
    <x v="1"/>
    <s v="Kofi"/>
    <x v="10"/>
    <x v="0"/>
    <n v="5"/>
    <n v="400"/>
    <x v="23"/>
    <s v="Flooz"/>
    <s v="avril"/>
    <s v="Non"/>
  </r>
  <r>
    <s v="V0243"/>
    <d v="2026-04-29T00:00:00"/>
    <x v="2"/>
    <s v="Essi"/>
    <x v="1"/>
    <x v="1"/>
    <n v="2"/>
    <n v="1000"/>
    <x v="23"/>
    <s v="T-Money"/>
    <s v="avril"/>
    <s v="Non"/>
  </r>
  <r>
    <s v="V0335"/>
    <d v="2026-06-08T00:00:00"/>
    <x v="1"/>
    <s v="Kofi"/>
    <x v="10"/>
    <x v="0"/>
    <n v="5"/>
    <n v="400"/>
    <x v="23"/>
    <s v="T-Money"/>
    <s v="juin"/>
    <s v="Non"/>
  </r>
  <r>
    <s v="V0003"/>
    <d v="2026-01-03T00:00:00"/>
    <x v="0"/>
    <s v="Yawo"/>
    <x v="6"/>
    <x v="3"/>
    <n v="3"/>
    <n v="600"/>
    <x v="24"/>
    <s v="Espèces"/>
    <s v="janvier"/>
    <s v="Non"/>
  </r>
  <r>
    <s v="V0005"/>
    <d v="2026-01-05T00:00:00"/>
    <x v="1"/>
    <s v="Ama"/>
    <x v="8"/>
    <x v="0"/>
    <n v="4"/>
    <n v="450"/>
    <x v="24"/>
    <s v="T-Money"/>
    <s v="janvier"/>
    <s v="Non"/>
  </r>
  <r>
    <s v="V0140"/>
    <d v="2026-03-11T00:00:00"/>
    <x v="2"/>
    <s v="Essi"/>
    <x v="6"/>
    <x v="3"/>
    <n v="3"/>
    <n v="600"/>
    <x v="24"/>
    <s v="Espèces"/>
    <s v="mars"/>
    <s v="Non"/>
  </r>
  <r>
    <s v="V0145"/>
    <d v="2026-03-12T00:00:00"/>
    <x v="0"/>
    <s v="Yawo"/>
    <x v="12"/>
    <x v="2"/>
    <n v="6"/>
    <n v="300"/>
    <x v="24"/>
    <s v="Espèces"/>
    <s v="mars"/>
    <s v="Non"/>
  </r>
  <r>
    <s v="V0168"/>
    <d v="2026-03-27T00:00:00"/>
    <x v="1"/>
    <s v="Kofi"/>
    <x v="6"/>
    <x v="3"/>
    <n v="3"/>
    <n v="600"/>
    <x v="24"/>
    <s v="Espèces"/>
    <s v="mars"/>
    <s v="Non"/>
  </r>
  <r>
    <s v="V0202"/>
    <d v="2026-04-12T00:00:00"/>
    <x v="2"/>
    <s v="Essi"/>
    <x v="8"/>
    <x v="0"/>
    <n v="4"/>
    <n v="450"/>
    <x v="24"/>
    <s v="Flooz"/>
    <s v="avril"/>
    <s v="Non"/>
  </r>
  <r>
    <s v="V0223"/>
    <d v="2026-04-22T00:00:00"/>
    <x v="1"/>
    <s v="Ama"/>
    <x v="12"/>
    <x v="2"/>
    <n v="6"/>
    <n v="300"/>
    <x v="24"/>
    <s v="T-Money"/>
    <s v="avril"/>
    <s v="Non"/>
  </r>
  <r>
    <s v="V0276"/>
    <d v="2026-05-16T00:00:00"/>
    <x v="2"/>
    <s v="Komla"/>
    <x v="6"/>
    <x v="3"/>
    <n v="3"/>
    <n v="600"/>
    <x v="24"/>
    <s v="Espèces"/>
    <s v="mai"/>
    <s v="Non"/>
  </r>
  <r>
    <s v="V0302"/>
    <d v="2026-05-25T00:00:00"/>
    <x v="1"/>
    <s v="Ama"/>
    <x v="2"/>
    <x v="2"/>
    <n v="2"/>
    <n v="900"/>
    <x v="24"/>
    <s v="T-Money"/>
    <s v="mai"/>
    <s v="Non"/>
  </r>
  <r>
    <s v="V0318"/>
    <d v="2026-05-31T00:00:00"/>
    <x v="0"/>
    <s v="Afi"/>
    <x v="2"/>
    <x v="2"/>
    <n v="2"/>
    <n v="900"/>
    <x v="24"/>
    <s v="Espèces"/>
    <s v="mai"/>
    <s v="Non"/>
  </r>
  <r>
    <s v="V0341"/>
    <d v="2026-06-10T00:00:00"/>
    <x v="1"/>
    <s v="Kofi"/>
    <x v="2"/>
    <x v="2"/>
    <n v="2"/>
    <n v="900"/>
    <x v="24"/>
    <s v="Flooz"/>
    <s v="juin"/>
    <s v="Non"/>
  </r>
  <r>
    <s v="V0348"/>
    <d v="2026-06-13T00:00:00"/>
    <x v="1"/>
    <s v="Kofi"/>
    <x v="2"/>
    <x v="2"/>
    <n v="2"/>
    <n v="900"/>
    <x v="24"/>
    <s v="Espèces"/>
    <s v="juin"/>
    <s v="Non"/>
  </r>
  <r>
    <s v="V0393"/>
    <d v="2026-06-28T00:00:00"/>
    <x v="0"/>
    <s v="Yawo"/>
    <x v="8"/>
    <x v="0"/>
    <n v="4"/>
    <n v="450"/>
    <x v="24"/>
    <s v="T-Money"/>
    <s v="juin"/>
    <s v="Non"/>
  </r>
  <r>
    <s v="V0007"/>
    <d v="2026-01-05T00:00:00"/>
    <x v="0"/>
    <s v="Afi"/>
    <x v="3"/>
    <x v="0"/>
    <n v="2"/>
    <n v="800"/>
    <x v="25"/>
    <s v="Espèces"/>
    <s v="janvier"/>
    <s v="Non"/>
  </r>
  <r>
    <s v="V0096"/>
    <d v="2026-02-13T00:00:00"/>
    <x v="2"/>
    <s v="Essi"/>
    <x v="3"/>
    <x v="0"/>
    <n v="2"/>
    <n v="800"/>
    <x v="25"/>
    <s v="Espèces"/>
    <s v="février"/>
    <s v="Non"/>
  </r>
  <r>
    <s v="V0136"/>
    <d v="2026-03-09T00:00:00"/>
    <x v="2"/>
    <s v="Komla"/>
    <x v="3"/>
    <x v="0"/>
    <n v="2"/>
    <n v="800"/>
    <x v="25"/>
    <s v="Espèces"/>
    <s v="mars"/>
    <s v="Non"/>
  </r>
  <r>
    <s v="V0196"/>
    <d v="2026-04-10T00:00:00"/>
    <x v="0"/>
    <s v="Afi"/>
    <x v="10"/>
    <x v="0"/>
    <n v="4"/>
    <n v="400"/>
    <x v="25"/>
    <s v="T-Money"/>
    <s v="avril"/>
    <s v="Non"/>
  </r>
  <r>
    <s v="V0242"/>
    <d v="2026-04-29T00:00:00"/>
    <x v="1"/>
    <s v="Kofi"/>
    <x v="10"/>
    <x v="0"/>
    <n v="4"/>
    <n v="400"/>
    <x v="25"/>
    <s v="Espèces"/>
    <s v="avril"/>
    <s v="Non"/>
  </r>
  <r>
    <s v="V0266"/>
    <d v="2026-05-09T00:00:00"/>
    <x v="2"/>
    <s v="Essi"/>
    <x v="3"/>
    <x v="0"/>
    <n v="2"/>
    <n v="800"/>
    <x v="25"/>
    <s v="T-Money"/>
    <s v="mai"/>
    <s v="Non"/>
  </r>
  <r>
    <s v="V0284"/>
    <d v="2026-05-19T00:00:00"/>
    <x v="1"/>
    <s v="Kofi"/>
    <x v="3"/>
    <x v="0"/>
    <n v="2"/>
    <n v="800"/>
    <x v="25"/>
    <s v="Espèces"/>
    <s v="mai"/>
    <s v="Non"/>
  </r>
  <r>
    <s v="V0296"/>
    <d v="2026-05-23T00:00:00"/>
    <x v="2"/>
    <s v="Essi"/>
    <x v="3"/>
    <x v="0"/>
    <n v="2"/>
    <n v="800"/>
    <x v="25"/>
    <s v="Espèces"/>
    <s v="mai"/>
    <s v="Non"/>
  </r>
  <r>
    <s v="V0301"/>
    <d v="2026-05-24T00:00:00"/>
    <x v="0"/>
    <s v="Afi"/>
    <x v="14"/>
    <x v="1"/>
    <n v="4"/>
    <n v="400"/>
    <x v="25"/>
    <s v="Espèces"/>
    <s v="mai"/>
    <s v="Non"/>
  </r>
  <r>
    <s v="V0347"/>
    <d v="2026-06-12T00:00:00"/>
    <x v="2"/>
    <s v="Essi"/>
    <x v="3"/>
    <x v="0"/>
    <n v="2"/>
    <n v="800"/>
    <x v="25"/>
    <s v="T-Money"/>
    <s v="juin"/>
    <s v="Non"/>
  </r>
  <r>
    <s v="V0022"/>
    <d v="2026-01-14T00:00:00"/>
    <x v="1"/>
    <s v="Ama"/>
    <x v="12"/>
    <x v="2"/>
    <n v="5"/>
    <n v="300"/>
    <x v="26"/>
    <s v="T-Money"/>
    <s v="janvier"/>
    <s v="Non"/>
  </r>
  <r>
    <s v="V0054"/>
    <d v="2026-01-28T00:00:00"/>
    <x v="0"/>
    <s v="Afi"/>
    <x v="9"/>
    <x v="0"/>
    <n v="1"/>
    <n v="1500"/>
    <x v="26"/>
    <s v="Espèces"/>
    <s v="janvier"/>
    <s v="Non"/>
  </r>
  <r>
    <s v="V0067"/>
    <d v="2026-02-02T00:00:00"/>
    <x v="2"/>
    <s v="Essi"/>
    <x v="9"/>
    <x v="0"/>
    <n v="1"/>
    <n v="1500"/>
    <x v="26"/>
    <s v="Espèces"/>
    <s v="février"/>
    <s v="Non"/>
  </r>
  <r>
    <s v="V0083"/>
    <d v="2026-02-08T00:00:00"/>
    <x v="1"/>
    <s v="Ama"/>
    <x v="9"/>
    <x v="0"/>
    <n v="1"/>
    <n v="1500"/>
    <x v="26"/>
    <s v="Flooz"/>
    <s v="février"/>
    <s v="Non"/>
  </r>
  <r>
    <s v="V0086"/>
    <d v="2026-02-09T00:00:00"/>
    <x v="2"/>
    <s v="Essi"/>
    <x v="9"/>
    <x v="0"/>
    <n v="1"/>
    <n v="1500"/>
    <x v="26"/>
    <s v="T-Money"/>
    <s v="février"/>
    <s v="Non"/>
  </r>
  <r>
    <s v="V0102"/>
    <d v="2026-02-16T00:00:00"/>
    <x v="1"/>
    <s v="Ama"/>
    <x v="9"/>
    <x v="0"/>
    <n v="1"/>
    <n v="1500"/>
    <x v="26"/>
    <s v="T-Money"/>
    <s v="février"/>
    <s v="Non"/>
  </r>
  <r>
    <s v="V0143"/>
    <d v="2026-03-12T00:00:00"/>
    <x v="2"/>
    <s v="Essi"/>
    <x v="9"/>
    <x v="0"/>
    <n v="1"/>
    <n v="1500"/>
    <x v="26"/>
    <s v="Espèces"/>
    <s v="mars"/>
    <s v="Non"/>
  </r>
  <r>
    <s v="V0148"/>
    <d v="2026-03-14T00:00:00"/>
    <x v="2"/>
    <s v="Essi"/>
    <x v="9"/>
    <x v="0"/>
    <n v="1"/>
    <n v="1500"/>
    <x v="26"/>
    <s v="T-Money"/>
    <s v="mars"/>
    <s v="Non"/>
  </r>
  <r>
    <s v="V0184"/>
    <d v="2026-04-04T00:00:00"/>
    <x v="2"/>
    <s v="Komla"/>
    <x v="9"/>
    <x v="0"/>
    <n v="1"/>
    <n v="1500"/>
    <x v="26"/>
    <s v="Espèces"/>
    <s v="avril"/>
    <s v="Non"/>
  </r>
  <r>
    <s v="V0217"/>
    <d v="2026-04-19T00:00:00"/>
    <x v="1"/>
    <s v="Kofi"/>
    <x v="9"/>
    <x v="0"/>
    <n v="1"/>
    <n v="1500"/>
    <x v="26"/>
    <s v="Espèces"/>
    <s v="avril"/>
    <s v="Non"/>
  </r>
  <r>
    <s v="V0220"/>
    <d v="2026-04-20T00:00:00"/>
    <x v="2"/>
    <s v="Komla"/>
    <x v="9"/>
    <x v="0"/>
    <n v="1"/>
    <n v="1500"/>
    <x v="26"/>
    <s v="Flooz"/>
    <s v="avril"/>
    <s v="Non"/>
  </r>
  <r>
    <s v="V0226"/>
    <d v="2026-04-23T00:00:00"/>
    <x v="2"/>
    <s v="Essi"/>
    <x v="9"/>
    <x v="0"/>
    <n v="1"/>
    <n v="1500"/>
    <x v="26"/>
    <s v="Flooz"/>
    <s v="avril"/>
    <s v="Non"/>
  </r>
  <r>
    <s v="V0289"/>
    <d v="2026-05-21T00:00:00"/>
    <x v="1"/>
    <s v="Ama"/>
    <x v="9"/>
    <x v="0"/>
    <n v="1"/>
    <n v="1500"/>
    <x v="26"/>
    <s v="Espèces"/>
    <s v="mai"/>
    <s v="Non"/>
  </r>
  <r>
    <s v="V0290"/>
    <d v="2026-05-21T00:00:00"/>
    <x v="2"/>
    <s v="Essi"/>
    <x v="9"/>
    <x v="0"/>
    <n v="1"/>
    <n v="1500"/>
    <x v="26"/>
    <s v="Espèces"/>
    <s v="mai"/>
    <s v="Non"/>
  </r>
  <r>
    <s v="V0327"/>
    <d v="2026-06-04T00:00:00"/>
    <x v="0"/>
    <s v="Yawo"/>
    <x v="9"/>
    <x v="0"/>
    <n v="1"/>
    <n v="1500"/>
    <x v="26"/>
    <s v="Flooz"/>
    <s v="juin"/>
    <s v="Non"/>
  </r>
  <r>
    <s v="V0328"/>
    <d v="2026-06-05T00:00:00"/>
    <x v="2"/>
    <s v="Komla"/>
    <x v="13"/>
    <x v="3"/>
    <n v="6"/>
    <n v="250"/>
    <x v="26"/>
    <s v="Espèces"/>
    <s v="juin"/>
    <s v="Non"/>
  </r>
  <r>
    <s v="V0345"/>
    <d v="2026-06-11T00:00:00"/>
    <x v="1"/>
    <s v="Kofi"/>
    <x v="9"/>
    <x v="0"/>
    <n v="1"/>
    <n v="1500"/>
    <x v="26"/>
    <s v="Flooz"/>
    <s v="juin"/>
    <s v="Non"/>
  </r>
  <r>
    <s v="V0346"/>
    <d v="2026-06-11T00:00:00"/>
    <x v="2"/>
    <s v="Essi"/>
    <x v="9"/>
    <x v="0"/>
    <n v="1"/>
    <n v="1500"/>
    <x v="26"/>
    <s v="Espèces"/>
    <s v="juin"/>
    <s v="Non"/>
  </r>
  <r>
    <s v="V0357"/>
    <d v="2026-06-15T00:00:00"/>
    <x v="1"/>
    <s v="Kofi"/>
    <x v="9"/>
    <x v="0"/>
    <n v="1"/>
    <n v="1500"/>
    <x v="26"/>
    <s v="Espèces"/>
    <s v="juin"/>
    <s v="Non"/>
  </r>
  <r>
    <s v="V0361"/>
    <d v="2026-06-16T00:00:00"/>
    <x v="0"/>
    <s v="Yawo"/>
    <x v="9"/>
    <x v="0"/>
    <n v="1"/>
    <n v="1500"/>
    <x v="26"/>
    <s v="T-Money"/>
    <s v="juin"/>
    <s v="Non"/>
  </r>
  <r>
    <s v="V0383"/>
    <d v="2026-06-24T00:00:00"/>
    <x v="2"/>
    <s v="Essi"/>
    <x v="12"/>
    <x v="2"/>
    <n v="5"/>
    <n v="300"/>
    <x v="26"/>
    <s v="Espèces"/>
    <s v="juin"/>
    <s v="Non"/>
  </r>
  <r>
    <s v="V0387"/>
    <d v="2026-06-26T00:00:00"/>
    <x v="1"/>
    <s v="Ama"/>
    <x v="7"/>
    <x v="1"/>
    <n v="3"/>
    <n v="500"/>
    <x v="26"/>
    <s v="Espèces"/>
    <s v="juin"/>
    <s v="Non"/>
  </r>
  <r>
    <s v="V0390"/>
    <d v="2026-06-26T00:00:00"/>
    <x v="2"/>
    <s v="Komla"/>
    <x v="12"/>
    <x v="2"/>
    <n v="5"/>
    <n v="300"/>
    <x v="26"/>
    <s v="Espèces"/>
    <s v="juin"/>
    <s v="Non"/>
  </r>
  <r>
    <s v="V0013"/>
    <d v="2026-01-11T00:00:00"/>
    <x v="0"/>
    <s v="Yawo"/>
    <x v="5"/>
    <x v="2"/>
    <n v="2"/>
    <n v="700"/>
    <x v="27"/>
    <s v="T-Money"/>
    <s v="janvier"/>
    <s v="Non"/>
  </r>
  <r>
    <s v="V0035"/>
    <d v="2026-01-21T00:00:00"/>
    <x v="0"/>
    <s v="Afi"/>
    <x v="5"/>
    <x v="2"/>
    <n v="2"/>
    <n v="700"/>
    <x v="27"/>
    <s v="T-Money"/>
    <s v="janvier"/>
    <s v="Non"/>
  </r>
  <r>
    <s v="V0064"/>
    <d v="2026-02-01T00:00:00"/>
    <x v="0"/>
    <s v="Yawo"/>
    <x v="5"/>
    <x v="2"/>
    <n v="2"/>
    <n v="700"/>
    <x v="27"/>
    <s v="T-Money"/>
    <s v="février"/>
    <s v="Non"/>
  </r>
  <r>
    <s v="V0105"/>
    <d v="2026-02-17T00:00:00"/>
    <x v="1"/>
    <s v="Kofi"/>
    <x v="5"/>
    <x v="2"/>
    <n v="2"/>
    <n v="700"/>
    <x v="27"/>
    <s v="Espèces"/>
    <s v="février"/>
    <s v="Non"/>
  </r>
  <r>
    <s v="V0142"/>
    <d v="2026-03-12T00:00:00"/>
    <x v="2"/>
    <s v="Essi"/>
    <x v="5"/>
    <x v="2"/>
    <n v="2"/>
    <n v="700"/>
    <x v="27"/>
    <s v="Espèces"/>
    <s v="mars"/>
    <s v="Non"/>
  </r>
  <r>
    <s v="V0163"/>
    <d v="2026-03-22T00:00:00"/>
    <x v="0"/>
    <s v="Afi"/>
    <x v="5"/>
    <x v="2"/>
    <n v="2"/>
    <n v="700"/>
    <x v="27"/>
    <s v="Espèces"/>
    <s v="mars"/>
    <s v="Non"/>
  </r>
  <r>
    <s v="V0344"/>
    <d v="2026-06-10T00:00:00"/>
    <x v="2"/>
    <s v="Essi"/>
    <x v="5"/>
    <x v="2"/>
    <n v="2"/>
    <n v="700"/>
    <x v="27"/>
    <s v="Espèces"/>
    <s v="juin"/>
    <s v="Non"/>
  </r>
  <r>
    <s v="V0396"/>
    <d v="2026-06-29T00:00:00"/>
    <x v="0"/>
    <s v="Yawo"/>
    <x v="5"/>
    <x v="2"/>
    <n v="2"/>
    <n v="700"/>
    <x v="27"/>
    <s v="Flooz"/>
    <s v="juin"/>
    <s v="Non"/>
  </r>
  <r>
    <s v="V0063"/>
    <d v="2026-02-01T00:00:00"/>
    <x v="0"/>
    <s v="Yawo"/>
    <x v="13"/>
    <x v="3"/>
    <n v="5"/>
    <n v="250"/>
    <x v="28"/>
    <s v="T-Money"/>
    <s v="février"/>
    <s v="Non"/>
  </r>
  <r>
    <s v="V0251"/>
    <d v="2026-05-01T00:00:00"/>
    <x v="2"/>
    <s v="Komla"/>
    <x v="13"/>
    <x v="3"/>
    <n v="5"/>
    <n v="250"/>
    <x v="28"/>
    <s v="Espèces"/>
    <s v="mai"/>
    <s v="Non"/>
  </r>
  <r>
    <s v="V0299"/>
    <d v="2026-05-24T00:00:00"/>
    <x v="2"/>
    <s v="Essi"/>
    <x v="13"/>
    <x v="3"/>
    <n v="5"/>
    <n v="250"/>
    <x v="28"/>
    <s v="T-Money"/>
    <s v="mai"/>
    <s v="Non"/>
  </r>
  <r>
    <s v="V0355"/>
    <d v="2026-06-15T00:00:00"/>
    <x v="1"/>
    <s v="Ama"/>
    <x v="13"/>
    <x v="3"/>
    <n v="5"/>
    <n v="250"/>
    <x v="28"/>
    <s v="Espèces"/>
    <s v="juin"/>
    <s v="Non"/>
  </r>
  <r>
    <s v="V0020"/>
    <d v="2026-01-14T00:00:00"/>
    <x v="1"/>
    <s v="Ama"/>
    <x v="11"/>
    <x v="3"/>
    <n v="1"/>
    <n v="1200"/>
    <x v="29"/>
    <s v="Espèces"/>
    <s v="janvier"/>
    <s v="Non"/>
  </r>
  <r>
    <s v="V0034"/>
    <d v="2026-01-20T00:00:00"/>
    <x v="2"/>
    <s v="Komla"/>
    <x v="14"/>
    <x v="1"/>
    <n v="3"/>
    <n v="400"/>
    <x v="29"/>
    <s v="Espèces"/>
    <s v="janvier"/>
    <s v="Non"/>
  </r>
  <r>
    <s v="V0051"/>
    <d v="2026-01-28T00:00:00"/>
    <x v="2"/>
    <s v="Komla"/>
    <x v="6"/>
    <x v="3"/>
    <n v="2"/>
    <n v="600"/>
    <x v="29"/>
    <s v="Espèces"/>
    <s v="janvier"/>
    <s v="Non"/>
  </r>
  <r>
    <s v="V0056"/>
    <d v="2026-01-28T00:00:00"/>
    <x v="0"/>
    <s v="Yawo"/>
    <x v="6"/>
    <x v="3"/>
    <n v="2"/>
    <n v="600"/>
    <x v="29"/>
    <s v="T-Money"/>
    <s v="janvier"/>
    <s v="Non"/>
  </r>
  <r>
    <s v="V0097"/>
    <d v="2026-02-14T00:00:00"/>
    <x v="0"/>
    <s v="Afi"/>
    <x v="6"/>
    <x v="3"/>
    <n v="2"/>
    <n v="600"/>
    <x v="29"/>
    <s v="Espèces"/>
    <s v="février"/>
    <s v="Non"/>
  </r>
  <r>
    <s v="V0099"/>
    <d v="2026-02-14T00:00:00"/>
    <x v="0"/>
    <s v="Afi"/>
    <x v="14"/>
    <x v="1"/>
    <n v="3"/>
    <n v="400"/>
    <x v="29"/>
    <s v="T-Money"/>
    <s v="février"/>
    <s v="Non"/>
  </r>
  <r>
    <s v="V0112"/>
    <d v="2026-02-21T00:00:00"/>
    <x v="1"/>
    <s v="Ama"/>
    <x v="6"/>
    <x v="3"/>
    <n v="2"/>
    <n v="600"/>
    <x v="29"/>
    <s v="Espèces"/>
    <s v="février"/>
    <s v="Non"/>
  </r>
  <r>
    <s v="V0116"/>
    <d v="2026-02-24T00:00:00"/>
    <x v="1"/>
    <s v="Ama"/>
    <x v="10"/>
    <x v="0"/>
    <n v="3"/>
    <n v="400"/>
    <x v="29"/>
    <s v="Espèces"/>
    <s v="février"/>
    <s v="Non"/>
  </r>
  <r>
    <s v="V0123"/>
    <d v="2026-02-27T00:00:00"/>
    <x v="0"/>
    <s v="Afi"/>
    <x v="11"/>
    <x v="3"/>
    <n v="1"/>
    <n v="1200"/>
    <x v="29"/>
    <s v="Espèces"/>
    <s v="février"/>
    <s v="Non"/>
  </r>
  <r>
    <s v="V0131"/>
    <d v="2026-03-06T00:00:00"/>
    <x v="0"/>
    <s v="Yawo"/>
    <x v="11"/>
    <x v="3"/>
    <n v="1"/>
    <n v="1200"/>
    <x v="29"/>
    <s v="Espèces"/>
    <s v="mars"/>
    <s v="Non"/>
  </r>
  <r>
    <s v="V0135"/>
    <d v="2026-03-09T00:00:00"/>
    <x v="1"/>
    <s v="Kofi"/>
    <x v="12"/>
    <x v="2"/>
    <n v="4"/>
    <n v="300"/>
    <x v="29"/>
    <s v="Espèces"/>
    <s v="mars"/>
    <s v="Non"/>
  </r>
  <r>
    <s v="V0164"/>
    <d v="2026-03-24T00:00:00"/>
    <x v="1"/>
    <s v="Kofi"/>
    <x v="12"/>
    <x v="2"/>
    <n v="4"/>
    <n v="300"/>
    <x v="29"/>
    <s v="Espèces"/>
    <s v="mars"/>
    <s v="Non"/>
  </r>
  <r>
    <s v="V0167"/>
    <d v="2026-03-27T00:00:00"/>
    <x v="0"/>
    <s v="Yawo"/>
    <x v="11"/>
    <x v="3"/>
    <n v="1"/>
    <n v="1200"/>
    <x v="29"/>
    <s v="Espèces"/>
    <s v="mars"/>
    <s v="Non"/>
  </r>
  <r>
    <s v="V0185"/>
    <d v="2026-04-04T00:00:00"/>
    <x v="2"/>
    <s v="Essi"/>
    <x v="11"/>
    <x v="3"/>
    <n v="1"/>
    <n v="1200"/>
    <x v="29"/>
    <s v="Espèces"/>
    <s v="avril"/>
    <s v="Non"/>
  </r>
  <r>
    <s v="V0204"/>
    <d v="2026-04-12T00:00:00"/>
    <x v="0"/>
    <s v="Yawo"/>
    <x v="6"/>
    <x v="3"/>
    <n v="2"/>
    <n v="600"/>
    <x v="29"/>
    <s v="Flooz"/>
    <s v="avril"/>
    <s v="Non"/>
  </r>
  <r>
    <s v="V0209"/>
    <d v="2026-04-15T00:00:00"/>
    <x v="1"/>
    <s v="Kofi"/>
    <x v="11"/>
    <x v="3"/>
    <n v="1"/>
    <n v="1200"/>
    <x v="29"/>
    <s v="Espèces"/>
    <s v="avril"/>
    <s v="Non"/>
  </r>
  <r>
    <s v="V0240"/>
    <d v="2026-04-28T00:00:00"/>
    <x v="0"/>
    <s v="Afi"/>
    <x v="11"/>
    <x v="3"/>
    <n v="1"/>
    <n v="1200"/>
    <x v="29"/>
    <s v="Espèces"/>
    <s v="avril"/>
    <s v="Non"/>
  </r>
  <r>
    <s v="V0272"/>
    <d v="2026-05-12T00:00:00"/>
    <x v="0"/>
    <s v="Afi"/>
    <x v="6"/>
    <x v="3"/>
    <n v="2"/>
    <n v="600"/>
    <x v="29"/>
    <s v="Espèces"/>
    <s v="mai"/>
    <s v="Non"/>
  </r>
  <r>
    <s v="V0291"/>
    <d v="2026-05-21T00:00:00"/>
    <x v="2"/>
    <s v="Essi"/>
    <x v="6"/>
    <x v="3"/>
    <n v="2"/>
    <n v="600"/>
    <x v="29"/>
    <s v="Flooz"/>
    <s v="mai"/>
    <s v="Non"/>
  </r>
  <r>
    <s v="V0303"/>
    <d v="2026-05-25T00:00:00"/>
    <x v="0"/>
    <s v="Afi"/>
    <x v="11"/>
    <x v="3"/>
    <n v="1"/>
    <n v="1200"/>
    <x v="29"/>
    <s v="Espèces"/>
    <s v="mai"/>
    <s v="Non"/>
  </r>
  <r>
    <s v="V0313"/>
    <d v="2026-05-29T00:00:00"/>
    <x v="2"/>
    <s v="Essi"/>
    <x v="11"/>
    <x v="3"/>
    <n v="1"/>
    <n v="1200"/>
    <x v="29"/>
    <s v="Espèces"/>
    <s v="mai"/>
    <s v="Non"/>
  </r>
  <r>
    <s v="V0316"/>
    <d v="2026-05-30T00:00:00"/>
    <x v="2"/>
    <s v="Essi"/>
    <x v="6"/>
    <x v="3"/>
    <n v="2"/>
    <n v="600"/>
    <x v="29"/>
    <s v="Espèces"/>
    <s v="mai"/>
    <s v="Non"/>
  </r>
  <r>
    <s v="V0324"/>
    <d v="2026-06-02T00:00:00"/>
    <x v="1"/>
    <s v="Ama"/>
    <x v="11"/>
    <x v="3"/>
    <n v="1"/>
    <n v="1200"/>
    <x v="29"/>
    <s v="Flooz"/>
    <s v="juin"/>
    <s v="Non"/>
  </r>
  <r>
    <s v="V0334"/>
    <d v="2026-06-07T00:00:00"/>
    <x v="0"/>
    <s v="Yawo"/>
    <x v="11"/>
    <x v="3"/>
    <n v="1"/>
    <n v="1200"/>
    <x v="29"/>
    <s v="T-Money"/>
    <s v="juin"/>
    <s v="Non"/>
  </r>
  <r>
    <s v="V0354"/>
    <d v="2026-06-15T00:00:00"/>
    <x v="1"/>
    <s v="Ama"/>
    <x v="11"/>
    <x v="3"/>
    <n v="1"/>
    <n v="1200"/>
    <x v="29"/>
    <s v="Espèces"/>
    <s v="juin"/>
    <s v="Non"/>
  </r>
  <r>
    <s v="V0363"/>
    <d v="2026-06-17T00:00:00"/>
    <x v="1"/>
    <s v="Ama"/>
    <x v="12"/>
    <x v="2"/>
    <n v="4"/>
    <n v="300"/>
    <x v="29"/>
    <s v="Flooz"/>
    <s v="juin"/>
    <s v="Non"/>
  </r>
  <r>
    <s v="V0388"/>
    <d v="2026-06-26T00:00:00"/>
    <x v="1"/>
    <s v="Kofi"/>
    <x v="11"/>
    <x v="3"/>
    <n v="1"/>
    <n v="1200"/>
    <x v="29"/>
    <s v="Espèces"/>
    <s v="juin"/>
    <s v="Non"/>
  </r>
  <r>
    <s v="V0001"/>
    <d v="2026-01-02T00:00:00"/>
    <x v="0"/>
    <s v="Afi"/>
    <x v="13"/>
    <x v="3"/>
    <n v="4"/>
    <n v="250"/>
    <x v="30"/>
    <s v="Flooz"/>
    <s v="janvier"/>
    <s v="Non"/>
  </r>
  <r>
    <s v="V0014"/>
    <d v="2026-01-11T00:00:00"/>
    <x v="0"/>
    <s v="Yawo"/>
    <x v="1"/>
    <x v="1"/>
    <n v="1"/>
    <n v="1000"/>
    <x v="30"/>
    <s v="Flooz"/>
    <s v="janvier"/>
    <s v="Non"/>
  </r>
  <r>
    <s v="V0018"/>
    <d v="2026-01-12T00:00:00"/>
    <x v="1"/>
    <s v="Ama"/>
    <x v="1"/>
    <x v="1"/>
    <n v="1"/>
    <n v="1000"/>
    <x v="30"/>
    <s v="Espèces"/>
    <s v="janvier"/>
    <s v="Non"/>
  </r>
  <r>
    <s v="V0047"/>
    <d v="2026-01-26T00:00:00"/>
    <x v="2"/>
    <s v="Komla"/>
    <x v="1"/>
    <x v="1"/>
    <n v="1"/>
    <n v="1000"/>
    <x v="30"/>
    <s v="T-Money"/>
    <s v="janvier"/>
    <s v="Non"/>
  </r>
  <r>
    <s v="V0053"/>
    <d v="2026-01-28T00:00:00"/>
    <x v="2"/>
    <s v="Komla"/>
    <x v="1"/>
    <x v="1"/>
    <n v="1"/>
    <n v="1000"/>
    <x v="30"/>
    <s v="T-Money"/>
    <s v="janvier"/>
    <s v="Non"/>
  </r>
  <r>
    <s v="V0055"/>
    <d v="2026-01-28T00:00:00"/>
    <x v="0"/>
    <s v="Yawo"/>
    <x v="1"/>
    <x v="1"/>
    <n v="1"/>
    <n v="1000"/>
    <x v="30"/>
    <s v="Espèces"/>
    <s v="janvier"/>
    <s v="Non"/>
  </r>
  <r>
    <s v="V0072"/>
    <d v="2026-02-04T00:00:00"/>
    <x v="1"/>
    <s v="Ama"/>
    <x v="13"/>
    <x v="3"/>
    <n v="4"/>
    <n v="250"/>
    <x v="30"/>
    <s v="Espèces"/>
    <s v="février"/>
    <s v="Non"/>
  </r>
  <r>
    <s v="V0094"/>
    <d v="2026-02-12T00:00:00"/>
    <x v="0"/>
    <s v="Afi"/>
    <x v="1"/>
    <x v="1"/>
    <n v="1"/>
    <n v="1000"/>
    <x v="30"/>
    <s v="Espèces"/>
    <s v="février"/>
    <s v="Non"/>
  </r>
  <r>
    <s v="V0128"/>
    <d v="2026-03-04T00:00:00"/>
    <x v="1"/>
    <s v="Ama"/>
    <x v="7"/>
    <x v="1"/>
    <n v="2"/>
    <n v="500"/>
    <x v="30"/>
    <s v="Flooz"/>
    <s v="mars"/>
    <s v="Non"/>
  </r>
  <r>
    <s v="V0193"/>
    <d v="2026-04-08T00:00:00"/>
    <x v="0"/>
    <s v="Yawo"/>
    <x v="1"/>
    <x v="1"/>
    <n v="1"/>
    <n v="1000"/>
    <x v="30"/>
    <s v="Espèces"/>
    <s v="avril"/>
    <s v="Non"/>
  </r>
  <r>
    <s v="V0216"/>
    <d v="2026-04-18T00:00:00"/>
    <x v="0"/>
    <s v="Yawo"/>
    <x v="1"/>
    <x v="1"/>
    <n v="1"/>
    <n v="1000"/>
    <x v="30"/>
    <s v="T-Money"/>
    <s v="avril"/>
    <s v="Non"/>
  </r>
  <r>
    <s v="V0237"/>
    <d v="2026-04-27T00:00:00"/>
    <x v="0"/>
    <s v="Afi"/>
    <x v="13"/>
    <x v="3"/>
    <n v="4"/>
    <n v="250"/>
    <x v="30"/>
    <s v="Espèces"/>
    <s v="avril"/>
    <s v="Non"/>
  </r>
  <r>
    <s v="V0261"/>
    <d v="2026-05-05T00:00:00"/>
    <x v="2"/>
    <s v="Essi"/>
    <x v="7"/>
    <x v="1"/>
    <n v="2"/>
    <n v="500"/>
    <x v="30"/>
    <s v="Espèces"/>
    <s v="mai"/>
    <s v="Non"/>
  </r>
  <r>
    <s v="V0319"/>
    <d v="2026-05-31T00:00:00"/>
    <x v="0"/>
    <s v="Yawo"/>
    <x v="7"/>
    <x v="1"/>
    <n v="2"/>
    <n v="500"/>
    <x v="30"/>
    <s v="T-Money"/>
    <s v="mai"/>
    <s v="Non"/>
  </r>
  <r>
    <s v="V0333"/>
    <d v="2026-06-07T00:00:00"/>
    <x v="1"/>
    <s v="Ama"/>
    <x v="1"/>
    <x v="1"/>
    <n v="1"/>
    <n v="1000"/>
    <x v="30"/>
    <s v="Espèces"/>
    <s v="juin"/>
    <s v="Non"/>
  </r>
  <r>
    <s v="V0356"/>
    <d v="2026-06-15T00:00:00"/>
    <x v="0"/>
    <s v="Yawo"/>
    <x v="7"/>
    <x v="1"/>
    <n v="2"/>
    <n v="500"/>
    <x v="30"/>
    <s v="Espèces"/>
    <s v="juin"/>
    <s v="Non"/>
  </r>
  <r>
    <s v="V0386"/>
    <d v="2026-06-25T00:00:00"/>
    <x v="0"/>
    <s v="Afi"/>
    <x v="1"/>
    <x v="1"/>
    <n v="1"/>
    <n v="1000"/>
    <x v="30"/>
    <s v="T-Money"/>
    <s v="juin"/>
    <s v="Non"/>
  </r>
  <r>
    <s v="V0027"/>
    <d v="2026-01-18T00:00:00"/>
    <x v="0"/>
    <s v="Yawo"/>
    <x v="2"/>
    <x v="2"/>
    <n v="1"/>
    <n v="900"/>
    <x v="31"/>
    <s v="T-Money"/>
    <s v="janvier"/>
    <s v="Non"/>
  </r>
  <r>
    <s v="V0031"/>
    <d v="2026-01-20T00:00:00"/>
    <x v="2"/>
    <s v="Essi"/>
    <x v="8"/>
    <x v="0"/>
    <n v="2"/>
    <n v="450"/>
    <x v="31"/>
    <s v="Espèces"/>
    <s v="janvier"/>
    <s v="Non"/>
  </r>
  <r>
    <s v="V0046"/>
    <d v="2026-01-24T00:00:00"/>
    <x v="0"/>
    <s v="Afi"/>
    <x v="8"/>
    <x v="0"/>
    <n v="2"/>
    <n v="450"/>
    <x v="31"/>
    <s v="Espèces"/>
    <s v="janvier"/>
    <s v="Non"/>
  </r>
  <r>
    <s v="V0061"/>
    <d v="2026-01-31T00:00:00"/>
    <x v="2"/>
    <s v="Komla"/>
    <x v="8"/>
    <x v="0"/>
    <n v="2"/>
    <n v="450"/>
    <x v="31"/>
    <s v="T-Money"/>
    <s v="janvier"/>
    <s v="Non"/>
  </r>
  <r>
    <s v="V0130"/>
    <d v="2026-03-05T00:00:00"/>
    <x v="0"/>
    <s v="Afi"/>
    <x v="8"/>
    <x v="0"/>
    <n v="2"/>
    <n v="450"/>
    <x v="31"/>
    <s v="T-Money"/>
    <s v="mars"/>
    <s v="Non"/>
  </r>
  <r>
    <s v="V0149"/>
    <d v="2026-03-15T00:00:00"/>
    <x v="1"/>
    <s v="Ama"/>
    <x v="8"/>
    <x v="0"/>
    <n v="2"/>
    <n v="450"/>
    <x v="31"/>
    <s v="T-Money"/>
    <s v="mars"/>
    <s v="Non"/>
  </r>
  <r>
    <s v="V0172"/>
    <d v="2026-03-28T00:00:00"/>
    <x v="1"/>
    <s v="Kofi"/>
    <x v="8"/>
    <x v="0"/>
    <n v="2"/>
    <n v="450"/>
    <x v="31"/>
    <s v="Espèces"/>
    <s v="mars"/>
    <s v="Non"/>
  </r>
  <r>
    <s v="V0199"/>
    <d v="2026-04-10T00:00:00"/>
    <x v="0"/>
    <s v="Afi"/>
    <x v="2"/>
    <x v="2"/>
    <n v="1"/>
    <n v="900"/>
    <x v="31"/>
    <s v="Espèces"/>
    <s v="avril"/>
    <s v="Non"/>
  </r>
  <r>
    <s v="V0241"/>
    <d v="2026-04-28T00:00:00"/>
    <x v="2"/>
    <s v="Essi"/>
    <x v="2"/>
    <x v="2"/>
    <n v="1"/>
    <n v="900"/>
    <x v="31"/>
    <s v="Espèces"/>
    <s v="avril"/>
    <s v="Non"/>
  </r>
  <r>
    <s v="V0250"/>
    <d v="2026-05-01T00:00:00"/>
    <x v="0"/>
    <s v="Yawo"/>
    <x v="8"/>
    <x v="0"/>
    <n v="2"/>
    <n v="450"/>
    <x v="31"/>
    <s v="T-Money"/>
    <s v="mai"/>
    <s v="Non"/>
  </r>
  <r>
    <s v="V0252"/>
    <d v="2026-05-01T00:00:00"/>
    <x v="2"/>
    <s v="Komla"/>
    <x v="2"/>
    <x v="2"/>
    <n v="1"/>
    <n v="900"/>
    <x v="31"/>
    <s v="Espèces"/>
    <s v="mai"/>
    <s v="Non"/>
  </r>
  <r>
    <s v="V0273"/>
    <d v="2026-05-13T00:00:00"/>
    <x v="0"/>
    <s v="Yawo"/>
    <x v="8"/>
    <x v="0"/>
    <n v="2"/>
    <n v="450"/>
    <x v="31"/>
    <s v="Espèces"/>
    <s v="mai"/>
    <s v="Non"/>
  </r>
  <r>
    <s v="V0283"/>
    <d v="2026-05-19T00:00:00"/>
    <x v="2"/>
    <s v="Komla"/>
    <x v="12"/>
    <x v="2"/>
    <n v="3"/>
    <n v="300"/>
    <x v="31"/>
    <s v="Espèces"/>
    <s v="mai"/>
    <s v="Non"/>
  </r>
  <r>
    <s v="V0359"/>
    <d v="2026-06-16T00:00:00"/>
    <x v="1"/>
    <s v="Kofi"/>
    <x v="8"/>
    <x v="0"/>
    <n v="2"/>
    <n v="450"/>
    <x v="31"/>
    <s v="T-Money"/>
    <s v="juin"/>
    <s v="Non"/>
  </r>
  <r>
    <s v="V0367"/>
    <d v="2026-06-17T00:00:00"/>
    <x v="2"/>
    <s v="Komla"/>
    <x v="2"/>
    <x v="2"/>
    <n v="1"/>
    <n v="900"/>
    <x v="31"/>
    <s v="Espèces"/>
    <s v="juin"/>
    <s v="Non"/>
  </r>
  <r>
    <s v="V0384"/>
    <d v="2026-06-25T00:00:00"/>
    <x v="0"/>
    <s v="Yawo"/>
    <x v="2"/>
    <x v="2"/>
    <n v="1"/>
    <n v="900"/>
    <x v="31"/>
    <s v="Espèces"/>
    <s v="juin"/>
    <s v="Non"/>
  </r>
  <r>
    <s v="V0002"/>
    <d v="2026-01-02T00:00:00"/>
    <x v="1"/>
    <s v="Kofi"/>
    <x v="10"/>
    <x v="0"/>
    <n v="2"/>
    <n v="400"/>
    <x v="32"/>
    <s v="T-Money"/>
    <s v="janvier"/>
    <s v="Non"/>
  </r>
  <r>
    <s v="V0029"/>
    <d v="2026-01-19T00:00:00"/>
    <x v="2"/>
    <s v="Komla"/>
    <x v="3"/>
    <x v="0"/>
    <n v="1"/>
    <n v="800"/>
    <x v="32"/>
    <s v="T-Money"/>
    <s v="janvier"/>
    <s v="Non"/>
  </r>
  <r>
    <s v="V0042"/>
    <d v="2026-01-24T00:00:00"/>
    <x v="1"/>
    <s v="Kofi"/>
    <x v="3"/>
    <x v="0"/>
    <n v="1"/>
    <n v="800"/>
    <x v="32"/>
    <s v="T-Money"/>
    <s v="janvier"/>
    <s v="Non"/>
  </r>
  <r>
    <s v="V0144"/>
    <d v="2026-03-12T00:00:00"/>
    <x v="1"/>
    <s v="Kofi"/>
    <x v="14"/>
    <x v="1"/>
    <n v="2"/>
    <n v="400"/>
    <x v="32"/>
    <s v="T-Money"/>
    <s v="mars"/>
    <s v="Non"/>
  </r>
  <r>
    <s v="V0262"/>
    <d v="2026-05-05T00:00:00"/>
    <x v="1"/>
    <s v="Kofi"/>
    <x v="3"/>
    <x v="0"/>
    <n v="1"/>
    <n v="800"/>
    <x v="32"/>
    <s v="Espèces"/>
    <s v="mai"/>
    <s v="Non"/>
  </r>
  <r>
    <s v="V0263"/>
    <d v="2026-05-06T00:00:00"/>
    <x v="1"/>
    <s v="Kofi"/>
    <x v="3"/>
    <x v="0"/>
    <n v="1"/>
    <n v="800"/>
    <x v="32"/>
    <s v="Espèces"/>
    <s v="mai"/>
    <s v="Non"/>
  </r>
  <r>
    <s v="V0264"/>
    <d v="2026-05-08T00:00:00"/>
    <x v="2"/>
    <s v="Essi"/>
    <x v="3"/>
    <x v="0"/>
    <n v="1"/>
    <n v="800"/>
    <x v="32"/>
    <s v="Espèces"/>
    <s v="mai"/>
    <s v="Non"/>
  </r>
  <r>
    <s v="V0268"/>
    <d v="2026-05-10T00:00:00"/>
    <x v="0"/>
    <s v="Yawo"/>
    <x v="10"/>
    <x v="0"/>
    <n v="2"/>
    <n v="400"/>
    <x v="32"/>
    <s v="T-Money"/>
    <s v="mai"/>
    <s v="Non"/>
  </r>
  <r>
    <s v="V0274"/>
    <d v="2026-05-13T00:00:00"/>
    <x v="1"/>
    <s v="Ama"/>
    <x v="3"/>
    <x v="0"/>
    <n v="1"/>
    <n v="800"/>
    <x v="32"/>
    <s v="Espèces"/>
    <s v="mai"/>
    <s v="Non"/>
  </r>
  <r>
    <s v="V0288"/>
    <d v="2026-05-21T00:00:00"/>
    <x v="1"/>
    <s v="Ama"/>
    <x v="10"/>
    <x v="0"/>
    <n v="2"/>
    <n v="400"/>
    <x v="32"/>
    <s v="Espèces"/>
    <s v="mai"/>
    <s v="Non"/>
  </r>
  <r>
    <s v="V0292"/>
    <d v="2026-05-21T00:00:00"/>
    <x v="0"/>
    <s v="Yawo"/>
    <x v="3"/>
    <x v="0"/>
    <n v="1"/>
    <n v="800"/>
    <x v="32"/>
    <s v="Espèces"/>
    <s v="mai"/>
    <s v="Non"/>
  </r>
  <r>
    <s v="V0336"/>
    <d v="2026-06-08T00:00:00"/>
    <x v="1"/>
    <s v="Ama"/>
    <x v="3"/>
    <x v="0"/>
    <n v="1"/>
    <n v="800"/>
    <x v="32"/>
    <s v="Espèces"/>
    <s v="juin"/>
    <s v="Non"/>
  </r>
  <r>
    <s v="V0360"/>
    <d v="2026-06-16T00:00:00"/>
    <x v="0"/>
    <s v="Yawo"/>
    <x v="3"/>
    <x v="0"/>
    <n v="1"/>
    <n v="800"/>
    <x v="32"/>
    <s v="Espèces"/>
    <s v="juin"/>
    <s v="Non"/>
  </r>
  <r>
    <s v="V0380"/>
    <d v="2026-06-23T00:00:00"/>
    <x v="2"/>
    <s v="Essi"/>
    <x v="14"/>
    <x v="1"/>
    <n v="2"/>
    <n v="400"/>
    <x v="32"/>
    <s v="Espèces"/>
    <s v="juin"/>
    <s v="Non"/>
  </r>
  <r>
    <s v="V0382"/>
    <d v="2026-06-24T00:00:00"/>
    <x v="1"/>
    <s v="Kofi"/>
    <x v="3"/>
    <x v="0"/>
    <n v="1"/>
    <n v="800"/>
    <x v="32"/>
    <s v="T-Money"/>
    <s v="juin"/>
    <s v="Non"/>
  </r>
  <r>
    <s v="V0024"/>
    <d v="2026-01-15T00:00:00"/>
    <x v="1"/>
    <s v="Kofi"/>
    <x v="13"/>
    <x v="3"/>
    <n v="3"/>
    <n v="250"/>
    <x v="33"/>
    <s v="Espèces"/>
    <s v="janvier"/>
    <s v="Non"/>
  </r>
  <r>
    <s v="V0059"/>
    <d v="2026-01-30T00:00:00"/>
    <x v="2"/>
    <s v="Essi"/>
    <x v="13"/>
    <x v="3"/>
    <n v="3"/>
    <n v="250"/>
    <x v="33"/>
    <s v="Espèces"/>
    <s v="janvier"/>
    <s v="Non"/>
  </r>
  <r>
    <s v="V0177"/>
    <d v="2026-03-30T00:00:00"/>
    <x v="0"/>
    <s v="Yawo"/>
    <x v="13"/>
    <x v="3"/>
    <n v="3"/>
    <n v="250"/>
    <x v="33"/>
    <s v="Espèces"/>
    <s v="mars"/>
    <s v="Non"/>
  </r>
  <r>
    <s v="V0323"/>
    <d v="2026-06-02T00:00:00"/>
    <x v="1"/>
    <s v="Kofi"/>
    <x v="13"/>
    <x v="3"/>
    <n v="3"/>
    <n v="250"/>
    <x v="33"/>
    <s v="Espèces"/>
    <s v="juin"/>
    <s v="Non"/>
  </r>
  <r>
    <s v="V0397"/>
    <d v="2026-06-29T00:00:00"/>
    <x v="2"/>
    <s v="Komla"/>
    <x v="13"/>
    <x v="3"/>
    <n v="3"/>
    <n v="250"/>
    <x v="33"/>
    <s v="Espèces"/>
    <s v="juin"/>
    <s v="Non"/>
  </r>
  <r>
    <s v="V0021"/>
    <d v="2026-01-14T00:00:00"/>
    <x v="0"/>
    <s v="Yawo"/>
    <x v="5"/>
    <x v="2"/>
    <n v="1"/>
    <n v="700"/>
    <x v="34"/>
    <s v="T-Money"/>
    <s v="janvier"/>
    <s v="Non"/>
  </r>
  <r>
    <s v="V0137"/>
    <d v="2026-03-09T00:00:00"/>
    <x v="0"/>
    <s v="Afi"/>
    <x v="5"/>
    <x v="2"/>
    <n v="1"/>
    <n v="700"/>
    <x v="34"/>
    <s v="Flooz"/>
    <s v="mars"/>
    <s v="Non"/>
  </r>
  <r>
    <s v="V0150"/>
    <d v="2026-03-15T00:00:00"/>
    <x v="0"/>
    <s v="Afi"/>
    <x v="5"/>
    <x v="2"/>
    <n v="1"/>
    <n v="700"/>
    <x v="34"/>
    <s v="Flooz"/>
    <s v="mars"/>
    <s v="Non"/>
  </r>
  <r>
    <s v="V0211"/>
    <d v="2026-04-16T00:00:00"/>
    <x v="0"/>
    <s v="Yawo"/>
    <x v="5"/>
    <x v="2"/>
    <n v="1"/>
    <n v="700"/>
    <x v="34"/>
    <s v="Espèces"/>
    <s v="avril"/>
    <s v="Non"/>
  </r>
  <r>
    <s v="V0256"/>
    <d v="2026-05-03T00:00:00"/>
    <x v="0"/>
    <s v="Afi"/>
    <x v="5"/>
    <x v="2"/>
    <n v="1"/>
    <n v="700"/>
    <x v="34"/>
    <s v="Espèces"/>
    <s v="mai"/>
    <s v="Non"/>
  </r>
  <r>
    <s v="V0297"/>
    <d v="2026-05-23T00:00:00"/>
    <x v="1"/>
    <s v="Ama"/>
    <x v="5"/>
    <x v="2"/>
    <n v="1"/>
    <n v="700"/>
    <x v="34"/>
    <s v="Espèces"/>
    <s v="mai"/>
    <s v="Non"/>
  </r>
  <r>
    <s v="V0300"/>
    <d v="2026-05-24T00:00:00"/>
    <x v="0"/>
    <s v="Yawo"/>
    <x v="5"/>
    <x v="2"/>
    <n v="1"/>
    <n v="700"/>
    <x v="34"/>
    <s v="T-Money"/>
    <s v="mai"/>
    <s v="Non"/>
  </r>
  <r>
    <s v="V0307"/>
    <d v="2026-05-27T00:00:00"/>
    <x v="0"/>
    <s v="Yawo"/>
    <x v="5"/>
    <x v="2"/>
    <n v="1"/>
    <n v="700"/>
    <x v="34"/>
    <s v="Espèces"/>
    <s v="mai"/>
    <s v="Non"/>
  </r>
  <r>
    <s v="V0373"/>
    <d v="2026-06-20T00:00:00"/>
    <x v="0"/>
    <s v="Afi"/>
    <x v="5"/>
    <x v="2"/>
    <n v="1"/>
    <n v="700"/>
    <x v="34"/>
    <s v="T-Money"/>
    <s v="juin"/>
    <s v="Non"/>
  </r>
  <r>
    <s v="V0379"/>
    <d v="2026-06-23T00:00:00"/>
    <x v="2"/>
    <s v="Komla"/>
    <x v="5"/>
    <x v="2"/>
    <n v="1"/>
    <n v="700"/>
    <x v="34"/>
    <s v="Flooz"/>
    <s v="juin"/>
    <s v="Non"/>
  </r>
  <r>
    <s v="V0008"/>
    <d v="2026-01-06T00:00:00"/>
    <x v="2"/>
    <s v="Komla"/>
    <x v="12"/>
    <x v="2"/>
    <n v="2"/>
    <n v="300"/>
    <x v="35"/>
    <s v="Espèces"/>
    <s v="janvier"/>
    <s v="Non"/>
  </r>
  <r>
    <s v="V0100"/>
    <d v="2026-02-14T00:00:00"/>
    <x v="0"/>
    <s v="Yawo"/>
    <x v="6"/>
    <x v="3"/>
    <n v="1"/>
    <n v="600"/>
    <x v="35"/>
    <s v="Flooz"/>
    <s v="février"/>
    <s v="Non"/>
  </r>
  <r>
    <s v="V0121"/>
    <d v="2026-02-26T00:00:00"/>
    <x v="0"/>
    <s v="Afi"/>
    <x v="6"/>
    <x v="3"/>
    <n v="1"/>
    <n v="600"/>
    <x v="35"/>
    <s v="Espèces"/>
    <s v="février"/>
    <s v="Non"/>
  </r>
  <r>
    <s v="V0134"/>
    <d v="2026-03-09T00:00:00"/>
    <x v="1"/>
    <s v="Ama"/>
    <x v="6"/>
    <x v="3"/>
    <n v="1"/>
    <n v="600"/>
    <x v="35"/>
    <s v="Flooz"/>
    <s v="mars"/>
    <s v="Non"/>
  </r>
  <r>
    <s v="V0153"/>
    <d v="2026-03-18T00:00:00"/>
    <x v="0"/>
    <s v="Afi"/>
    <x v="6"/>
    <x v="3"/>
    <n v="1"/>
    <n v="600"/>
    <x v="35"/>
    <s v="Espèces"/>
    <s v="mars"/>
    <s v="Non"/>
  </r>
  <r>
    <s v="V0195"/>
    <d v="2026-04-08T00:00:00"/>
    <x v="2"/>
    <s v="Essi"/>
    <x v="12"/>
    <x v="2"/>
    <n v="2"/>
    <n v="300"/>
    <x v="35"/>
    <s v="Flooz"/>
    <s v="avril"/>
    <s v="Non"/>
  </r>
  <r>
    <s v="V0221"/>
    <d v="2026-04-20T00:00:00"/>
    <x v="2"/>
    <s v="Komla"/>
    <x v="12"/>
    <x v="2"/>
    <n v="2"/>
    <n v="300"/>
    <x v="35"/>
    <s v="Espèces"/>
    <s v="avril"/>
    <s v="Non"/>
  </r>
  <r>
    <s v="V0267"/>
    <d v="2026-05-10T00:00:00"/>
    <x v="0"/>
    <s v="Afi"/>
    <x v="6"/>
    <x v="3"/>
    <n v="1"/>
    <n v="600"/>
    <x v="35"/>
    <s v="T-Money"/>
    <s v="mai"/>
    <s v="Non"/>
  </r>
  <r>
    <s v="V0306"/>
    <d v="2026-05-26T00:00:00"/>
    <x v="2"/>
    <s v="Komla"/>
    <x v="6"/>
    <x v="3"/>
    <n v="1"/>
    <n v="600"/>
    <x v="35"/>
    <s v="Espèces"/>
    <s v="mai"/>
    <s v="Non"/>
  </r>
  <r>
    <s v="V0340"/>
    <d v="2026-06-10T00:00:00"/>
    <x v="2"/>
    <s v="Essi"/>
    <x v="12"/>
    <x v="2"/>
    <n v="2"/>
    <n v="300"/>
    <x v="35"/>
    <s v="T-Money"/>
    <s v="juin"/>
    <s v="Non"/>
  </r>
  <r>
    <s v="V0353"/>
    <d v="2026-06-14T00:00:00"/>
    <x v="2"/>
    <s v="Essi"/>
    <x v="6"/>
    <x v="3"/>
    <n v="1"/>
    <n v="600"/>
    <x v="35"/>
    <s v="Flooz"/>
    <s v="juin"/>
    <s v="Non"/>
  </r>
  <r>
    <s v="V0362"/>
    <d v="2026-06-17T00:00:00"/>
    <x v="2"/>
    <s v="Komla"/>
    <x v="6"/>
    <x v="3"/>
    <n v="1"/>
    <n v="600"/>
    <x v="35"/>
    <s v="T-Money"/>
    <s v="juin"/>
    <s v="Non"/>
  </r>
  <r>
    <s v="V0378"/>
    <d v="2026-06-22T00:00:00"/>
    <x v="1"/>
    <s v="Ama"/>
    <x v="12"/>
    <x v="2"/>
    <n v="2"/>
    <n v="300"/>
    <x v="35"/>
    <s v="T-Money"/>
    <s v="juin"/>
    <s v="Non"/>
  </r>
  <r>
    <s v="V0016"/>
    <d v="2026-01-12T00:00:00"/>
    <x v="2"/>
    <s v="Komla"/>
    <x v="13"/>
    <x v="3"/>
    <n v="2"/>
    <n v="250"/>
    <x v="36"/>
    <s v="Flooz"/>
    <s v="janvier"/>
    <s v="Non"/>
  </r>
  <r>
    <s v="V0071"/>
    <d v="2026-02-03T00:00:00"/>
    <x v="1"/>
    <s v="Ama"/>
    <x v="13"/>
    <x v="3"/>
    <n v="2"/>
    <n v="250"/>
    <x v="36"/>
    <s v="Espèces"/>
    <s v="février"/>
    <s v="Non"/>
  </r>
  <r>
    <s v="V0161"/>
    <d v="2026-03-22T00:00:00"/>
    <x v="1"/>
    <s v="Ama"/>
    <x v="7"/>
    <x v="1"/>
    <n v="1"/>
    <n v="500"/>
    <x v="36"/>
    <s v="T-Money"/>
    <s v="mars"/>
    <s v="Non"/>
  </r>
  <r>
    <s v="V0171"/>
    <d v="2026-03-28T00:00:00"/>
    <x v="1"/>
    <s v="Kofi"/>
    <x v="7"/>
    <x v="1"/>
    <n v="1"/>
    <n v="500"/>
    <x v="36"/>
    <s v="Espèces"/>
    <s v="mars"/>
    <s v="Non"/>
  </r>
  <r>
    <s v="V0207"/>
    <d v="2026-04-14T00:00:00"/>
    <x v="0"/>
    <s v="Yawo"/>
    <x v="7"/>
    <x v="1"/>
    <n v="1"/>
    <n v="500"/>
    <x v="36"/>
    <s v="Espèces"/>
    <s v="avril"/>
    <s v="Non"/>
  </r>
  <r>
    <s v="V0238"/>
    <d v="2026-04-27T00:00:00"/>
    <x v="1"/>
    <s v="Kofi"/>
    <x v="7"/>
    <x v="1"/>
    <n v="1"/>
    <n v="500"/>
    <x v="36"/>
    <s v="Espèces"/>
    <s v="avril"/>
    <s v="Non"/>
  </r>
  <r>
    <s v="V0255"/>
    <d v="2026-05-02T00:00:00"/>
    <x v="0"/>
    <s v="Afi"/>
    <x v="13"/>
    <x v="3"/>
    <n v="2"/>
    <n v="250"/>
    <x v="36"/>
    <s v="T-Money"/>
    <s v="mai"/>
    <s v="Non"/>
  </r>
  <r>
    <s v="V0271"/>
    <d v="2026-05-12T00:00:00"/>
    <x v="1"/>
    <s v="Ama"/>
    <x v="7"/>
    <x v="1"/>
    <n v="1"/>
    <n v="500"/>
    <x v="36"/>
    <s v="Espèces"/>
    <s v="mai"/>
    <s v="Non"/>
  </r>
  <r>
    <s v="V0309"/>
    <d v="2026-05-28T00:00:00"/>
    <x v="2"/>
    <s v="Komla"/>
    <x v="13"/>
    <x v="3"/>
    <n v="2"/>
    <n v="250"/>
    <x v="36"/>
    <s v="Espèces"/>
    <s v="mai"/>
    <s v="Non"/>
  </r>
  <r>
    <s v="V0332"/>
    <d v="2026-06-06T00:00:00"/>
    <x v="2"/>
    <s v="Komla"/>
    <x v="13"/>
    <x v="3"/>
    <n v="2"/>
    <n v="250"/>
    <x v="36"/>
    <s v="T-Money"/>
    <s v="juin"/>
    <s v="Non"/>
  </r>
  <r>
    <s v="V0342"/>
    <d v="2026-06-10T00:00:00"/>
    <x v="2"/>
    <s v="Komla"/>
    <x v="7"/>
    <x v="1"/>
    <n v="1"/>
    <n v="500"/>
    <x v="36"/>
    <s v="Espèces"/>
    <s v="juin"/>
    <s v="Non"/>
  </r>
  <r>
    <s v="V0389"/>
    <d v="2026-06-26T00:00:00"/>
    <x v="0"/>
    <s v="Yawo"/>
    <x v="7"/>
    <x v="1"/>
    <n v="1"/>
    <n v="500"/>
    <x v="36"/>
    <s v="Espèces"/>
    <s v="juin"/>
    <s v="Non"/>
  </r>
  <r>
    <s v="V0057"/>
    <d v="2026-01-29T00:00:00"/>
    <x v="0"/>
    <s v="Afi"/>
    <x v="8"/>
    <x v="0"/>
    <n v="1"/>
    <n v="450"/>
    <x v="37"/>
    <s v="Espèces"/>
    <s v="janvier"/>
    <s v="Non"/>
  </r>
  <r>
    <s v="V0078"/>
    <d v="2026-02-05T00:00:00"/>
    <x v="1"/>
    <s v="Kofi"/>
    <x v="8"/>
    <x v="0"/>
    <n v="1"/>
    <n v="450"/>
    <x v="37"/>
    <s v="T-Money"/>
    <s v="février"/>
    <s v="Non"/>
  </r>
  <r>
    <s v="V0311"/>
    <d v="2026-05-28T00:00:00"/>
    <x v="2"/>
    <s v="Essi"/>
    <x v="8"/>
    <x v="0"/>
    <n v="1"/>
    <n v="450"/>
    <x v="37"/>
    <s v="Espèces"/>
    <s v="mai"/>
    <s v="Non"/>
  </r>
  <r>
    <s v="V0314"/>
    <d v="2026-05-30T00:00:00"/>
    <x v="0"/>
    <s v="Afi"/>
    <x v="8"/>
    <x v="0"/>
    <n v="1"/>
    <n v="450"/>
    <x v="37"/>
    <s v="Espèces"/>
    <s v="mai"/>
    <s v="Non"/>
  </r>
  <r>
    <s v="V0023"/>
    <d v="2026-01-14T00:00:00"/>
    <x v="1"/>
    <s v="Ama"/>
    <x v="14"/>
    <x v="1"/>
    <n v="1"/>
    <n v="400"/>
    <x v="38"/>
    <s v="Flooz"/>
    <s v="janvier"/>
    <s v="Non"/>
  </r>
  <r>
    <s v="V0041"/>
    <d v="2026-01-23T00:00:00"/>
    <x v="2"/>
    <s v="Komla"/>
    <x v="14"/>
    <x v="1"/>
    <n v="1"/>
    <n v="400"/>
    <x v="38"/>
    <s v="Flooz"/>
    <s v="janvier"/>
    <s v="Non"/>
  </r>
  <r>
    <s v="V0104"/>
    <d v="2026-02-16T00:00:00"/>
    <x v="1"/>
    <s v="Ama"/>
    <x v="14"/>
    <x v="1"/>
    <n v="1"/>
    <n v="400"/>
    <x v="38"/>
    <s v="T-Money"/>
    <s v="février"/>
    <s v="Non"/>
  </r>
  <r>
    <s v="V0133"/>
    <d v="2026-03-09T00:00:00"/>
    <x v="2"/>
    <s v="Komla"/>
    <x v="14"/>
    <x v="1"/>
    <n v="1"/>
    <n v="400"/>
    <x v="38"/>
    <s v="Flooz"/>
    <s v="mars"/>
    <s v="Non"/>
  </r>
  <r>
    <s v="V0151"/>
    <d v="2026-03-17T00:00:00"/>
    <x v="1"/>
    <s v="Ama"/>
    <x v="10"/>
    <x v="0"/>
    <n v="1"/>
    <n v="400"/>
    <x v="38"/>
    <s v="Espèces"/>
    <s v="mars"/>
    <s v="Non"/>
  </r>
  <r>
    <s v="V0166"/>
    <d v="2026-03-27T00:00:00"/>
    <x v="0"/>
    <s v="Yawo"/>
    <x v="10"/>
    <x v="0"/>
    <n v="1"/>
    <n v="400"/>
    <x v="38"/>
    <s v="T-Money"/>
    <s v="mars"/>
    <s v="Non"/>
  </r>
  <r>
    <s v="V0179"/>
    <d v="2026-04-01T00:00:00"/>
    <x v="2"/>
    <s v="Essi"/>
    <x v="10"/>
    <x v="0"/>
    <n v="1"/>
    <n v="400"/>
    <x v="38"/>
    <s v="Espèces"/>
    <s v="avril"/>
    <s v="Non"/>
  </r>
  <r>
    <s v="V0180"/>
    <d v="2026-04-02T00:00:00"/>
    <x v="1"/>
    <s v="Ama"/>
    <x v="10"/>
    <x v="0"/>
    <n v="1"/>
    <n v="400"/>
    <x v="38"/>
    <s v="T-Money"/>
    <s v="avril"/>
    <s v="Non"/>
  </r>
  <r>
    <s v="V0203"/>
    <d v="2026-04-12T00:00:00"/>
    <x v="0"/>
    <s v="Yawo"/>
    <x v="10"/>
    <x v="0"/>
    <n v="1"/>
    <n v="400"/>
    <x v="38"/>
    <s v="Espèces"/>
    <s v="avril"/>
    <s v="Non"/>
  </r>
  <r>
    <s v="V0245"/>
    <d v="2026-04-30T00:00:00"/>
    <x v="2"/>
    <s v="Essi"/>
    <x v="14"/>
    <x v="1"/>
    <n v="1"/>
    <n v="400"/>
    <x v="38"/>
    <s v="T-Money"/>
    <s v="avril"/>
    <s v="Non"/>
  </r>
  <r>
    <s v="V0294"/>
    <d v="2026-05-22T00:00:00"/>
    <x v="1"/>
    <s v="Kofi"/>
    <x v="10"/>
    <x v="0"/>
    <n v="1"/>
    <n v="400"/>
    <x v="38"/>
    <s v="T-Money"/>
    <s v="mai"/>
    <s v="Non"/>
  </r>
  <r>
    <s v="V0321"/>
    <d v="2026-06-01T00:00:00"/>
    <x v="1"/>
    <s v="Ama"/>
    <x v="14"/>
    <x v="1"/>
    <n v="1"/>
    <n v="400"/>
    <x v="38"/>
    <s v="Espèces"/>
    <s v="juin"/>
    <s v="Non"/>
  </r>
  <r>
    <s v="V0322"/>
    <d v="2026-06-02T00:00:00"/>
    <x v="2"/>
    <s v="Essi"/>
    <x v="14"/>
    <x v="1"/>
    <n v="1"/>
    <n v="400"/>
    <x v="38"/>
    <s v="Espèces"/>
    <s v="juin"/>
    <s v="Non"/>
  </r>
  <r>
    <s v="V0350"/>
    <d v="2026-06-13T00:00:00"/>
    <x v="0"/>
    <s v="Afi"/>
    <x v="14"/>
    <x v="1"/>
    <n v="1"/>
    <n v="400"/>
    <x v="38"/>
    <s v="Flooz"/>
    <s v="juin"/>
    <s v="Non"/>
  </r>
  <r>
    <s v="V0351"/>
    <d v="2026-06-14T00:00:00"/>
    <x v="0"/>
    <s v="Yawo"/>
    <x v="10"/>
    <x v="0"/>
    <n v="1"/>
    <n v="400"/>
    <x v="38"/>
    <s v="Espèces"/>
    <s v="juin"/>
    <s v="Non"/>
  </r>
  <r>
    <s v="V0370"/>
    <d v="2026-06-19T00:00:00"/>
    <x v="1"/>
    <s v="Kofi"/>
    <x v="10"/>
    <x v="0"/>
    <n v="1"/>
    <n v="400"/>
    <x v="38"/>
    <s v="Flooz"/>
    <s v="juin"/>
    <s v="Non"/>
  </r>
  <r>
    <s v="V0113"/>
    <d v="2026-02-23T00:00:00"/>
    <x v="2"/>
    <s v="Essi"/>
    <x v="12"/>
    <x v="2"/>
    <n v="1"/>
    <n v="300"/>
    <x v="39"/>
    <s v="Espèces"/>
    <s v="février"/>
    <s v="Non"/>
  </r>
  <r>
    <s v="V0178"/>
    <d v="2026-04-01T00:00:00"/>
    <x v="2"/>
    <s v="Essi"/>
    <x v="12"/>
    <x v="2"/>
    <n v="1"/>
    <n v="300"/>
    <x v="39"/>
    <s v="Flooz"/>
    <s v="avril"/>
    <s v="Non"/>
  </r>
  <r>
    <s v="V0260"/>
    <d v="2026-05-05T00:00:00"/>
    <x v="2"/>
    <s v="Komla"/>
    <x v="12"/>
    <x v="2"/>
    <n v="1"/>
    <n v="300"/>
    <x v="39"/>
    <s v="Espèces"/>
    <s v="mai"/>
    <s v="Non"/>
  </r>
  <r>
    <s v="V0305"/>
    <d v="2026-05-26T00:00:00"/>
    <x v="1"/>
    <s v="Kofi"/>
    <x v="12"/>
    <x v="2"/>
    <n v="1"/>
    <n v="300"/>
    <x v="39"/>
    <s v="Espèces"/>
    <s v="mai"/>
    <s v="Non"/>
  </r>
  <r>
    <s v="V0394"/>
    <d v="2026-06-28T00:00:00"/>
    <x v="2"/>
    <s v="Essi"/>
    <x v="12"/>
    <x v="2"/>
    <n v="1"/>
    <n v="300"/>
    <x v="39"/>
    <s v="Flooz"/>
    <s v="juin"/>
    <s v="Non"/>
  </r>
  <r>
    <s v="V0395"/>
    <d v="2026-06-29T00:00:00"/>
    <x v="2"/>
    <s v="Komla"/>
    <x v="12"/>
    <x v="2"/>
    <n v="1"/>
    <n v="300"/>
    <x v="39"/>
    <s v="Espèces"/>
    <s v="juin"/>
    <s v="Non"/>
  </r>
  <r>
    <s v="V0010"/>
    <d v="2026-01-08T00:00:00"/>
    <x v="1"/>
    <s v="Ama"/>
    <x v="13"/>
    <x v="3"/>
    <n v="1"/>
    <n v="250"/>
    <x v="40"/>
    <s v="Espèces"/>
    <s v="janvier"/>
    <s v="Non"/>
  </r>
  <r>
    <s v="V0093"/>
    <d v="2026-02-12T00:00:00"/>
    <x v="2"/>
    <s v="Komla"/>
    <x v="13"/>
    <x v="3"/>
    <n v="1"/>
    <n v="250"/>
    <x v="40"/>
    <s v="Flooz"/>
    <s v="février"/>
    <s v="Non"/>
  </r>
  <r>
    <s v="V0098"/>
    <d v="2026-02-14T00:00:00"/>
    <x v="2"/>
    <s v="Komla"/>
    <x v="13"/>
    <x v="3"/>
    <n v="1"/>
    <n v="250"/>
    <x v="40"/>
    <s v="Espèces"/>
    <s v="février"/>
    <s v="Non"/>
  </r>
  <r>
    <s v="V0115"/>
    <d v="2026-02-24T00:00:00"/>
    <x v="2"/>
    <s v="Essi"/>
    <x v="13"/>
    <x v="3"/>
    <n v="1"/>
    <n v="250"/>
    <x v="40"/>
    <s v="T-Money"/>
    <s v="février"/>
    <s v="Non"/>
  </r>
  <r>
    <s v="V0118"/>
    <d v="2026-02-25T00:00:00"/>
    <x v="1"/>
    <s v="Ama"/>
    <x v="13"/>
    <x v="3"/>
    <n v="1"/>
    <n v="250"/>
    <x v="40"/>
    <s v="T-Money"/>
    <s v="février"/>
    <s v="Non"/>
  </r>
  <r>
    <s v="V0173"/>
    <d v="2026-03-28T00:00:00"/>
    <x v="2"/>
    <s v="Essi"/>
    <x v="13"/>
    <x v="3"/>
    <n v="1"/>
    <n v="250"/>
    <x v="40"/>
    <s v="Espèces"/>
    <s v="mars"/>
    <s v="Non"/>
  </r>
  <r>
    <s v="V0176"/>
    <d v="2026-03-30T00:00:00"/>
    <x v="2"/>
    <s v="Essi"/>
    <x v="13"/>
    <x v="3"/>
    <n v="1"/>
    <n v="250"/>
    <x v="40"/>
    <s v="T-Money"/>
    <s v="mars"/>
    <s v="Non"/>
  </r>
  <r>
    <s v="V0232"/>
    <d v="2026-04-25T00:00:00"/>
    <x v="2"/>
    <s v="Essi"/>
    <x v="13"/>
    <x v="3"/>
    <n v="1"/>
    <n v="250"/>
    <x v="40"/>
    <s v="T-Money"/>
    <s v="avril"/>
    <s v="Non"/>
  </r>
  <r>
    <s v="V0248"/>
    <d v="2026-04-30T00:00:00"/>
    <x v="0"/>
    <s v="Yawo"/>
    <x v="13"/>
    <x v="3"/>
    <n v="1"/>
    <n v="250"/>
    <x v="40"/>
    <s v="Espèces"/>
    <s v="avril"/>
    <s v="Non"/>
  </r>
  <r>
    <s v="V0258"/>
    <d v="2026-05-04T00:00:00"/>
    <x v="0"/>
    <s v="Afi"/>
    <x v="13"/>
    <x v="3"/>
    <n v="1"/>
    <n v="250"/>
    <x v="40"/>
    <s v="Espèces"/>
    <s v="mai"/>
    <s v="N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0030"/>
    <x v="0"/>
    <x v="0"/>
    <x v="0"/>
    <x v="0"/>
    <s v="Alimentaire"/>
    <n v="3"/>
    <x v="0"/>
    <n v="10500"/>
    <x v="0"/>
    <x v="0"/>
  </r>
  <r>
    <s v="V0181"/>
    <x v="1"/>
    <x v="1"/>
    <x v="1"/>
    <x v="0"/>
    <s v="Alimentaire"/>
    <n v="3"/>
    <x v="0"/>
    <n v="10500"/>
    <x v="1"/>
    <x v="1"/>
  </r>
  <r>
    <s v="V0222"/>
    <x v="2"/>
    <x v="1"/>
    <x v="1"/>
    <x v="0"/>
    <s v="Alimentaire"/>
    <n v="3"/>
    <x v="0"/>
    <n v="10500"/>
    <x v="0"/>
    <x v="1"/>
  </r>
  <r>
    <s v="V0287"/>
    <x v="3"/>
    <x v="0"/>
    <x v="2"/>
    <x v="0"/>
    <s v="Alimentaire"/>
    <n v="3"/>
    <x v="0"/>
    <n v="10500"/>
    <x v="1"/>
    <x v="2"/>
  </r>
  <r>
    <s v="V0019"/>
    <x v="4"/>
    <x v="1"/>
    <x v="1"/>
    <x v="1"/>
    <s v="Boissons"/>
    <n v="10"/>
    <x v="1"/>
    <n v="10000"/>
    <x v="0"/>
    <x v="0"/>
  </r>
  <r>
    <s v="V0044"/>
    <x v="5"/>
    <x v="2"/>
    <x v="3"/>
    <x v="1"/>
    <s v="Boissons"/>
    <n v="10"/>
    <x v="1"/>
    <n v="10000"/>
    <x v="1"/>
    <x v="0"/>
  </r>
  <r>
    <s v="V0186"/>
    <x v="6"/>
    <x v="2"/>
    <x v="4"/>
    <x v="1"/>
    <s v="Boissons"/>
    <n v="10"/>
    <x v="1"/>
    <n v="10000"/>
    <x v="1"/>
    <x v="1"/>
  </r>
  <r>
    <s v="V0194"/>
    <x v="7"/>
    <x v="2"/>
    <x v="4"/>
    <x v="1"/>
    <s v="Boissons"/>
    <n v="10"/>
    <x v="1"/>
    <n v="10000"/>
    <x v="1"/>
    <x v="1"/>
  </r>
  <r>
    <s v="V0372"/>
    <x v="8"/>
    <x v="0"/>
    <x v="2"/>
    <x v="1"/>
    <s v="Boissons"/>
    <n v="10"/>
    <x v="1"/>
    <n v="10000"/>
    <x v="2"/>
    <x v="3"/>
  </r>
  <r>
    <s v="V0298"/>
    <x v="9"/>
    <x v="2"/>
    <x v="3"/>
    <x v="2"/>
    <s v="Hygiène"/>
    <n v="10"/>
    <x v="2"/>
    <n v="9000"/>
    <x v="1"/>
    <x v="2"/>
  </r>
  <r>
    <s v="V0009"/>
    <x v="10"/>
    <x v="1"/>
    <x v="1"/>
    <x v="3"/>
    <s v="Alimentaire"/>
    <n v="10"/>
    <x v="3"/>
    <n v="8000"/>
    <x v="0"/>
    <x v="0"/>
  </r>
  <r>
    <s v="V0170"/>
    <x v="11"/>
    <x v="0"/>
    <x v="2"/>
    <x v="3"/>
    <s v="Alimentaire"/>
    <n v="10"/>
    <x v="3"/>
    <n v="8000"/>
    <x v="0"/>
    <x v="4"/>
  </r>
  <r>
    <s v="V0174"/>
    <x v="12"/>
    <x v="0"/>
    <x v="0"/>
    <x v="3"/>
    <s v="Alimentaire"/>
    <n v="10"/>
    <x v="3"/>
    <n v="8000"/>
    <x v="0"/>
    <x v="4"/>
  </r>
  <r>
    <s v="V0206"/>
    <x v="13"/>
    <x v="1"/>
    <x v="1"/>
    <x v="3"/>
    <s v="Alimentaire"/>
    <n v="10"/>
    <x v="3"/>
    <n v="8000"/>
    <x v="1"/>
    <x v="1"/>
  </r>
  <r>
    <s v="V0365"/>
    <x v="14"/>
    <x v="2"/>
    <x v="3"/>
    <x v="3"/>
    <s v="Alimentaire"/>
    <n v="10"/>
    <x v="3"/>
    <n v="8000"/>
    <x v="2"/>
    <x v="3"/>
  </r>
  <r>
    <s v="V0219"/>
    <x v="15"/>
    <x v="2"/>
    <x v="3"/>
    <x v="4"/>
    <s v="Alimentaire"/>
    <n v="3"/>
    <x v="4"/>
    <n v="7500"/>
    <x v="1"/>
    <x v="1"/>
  </r>
  <r>
    <s v="V0259"/>
    <x v="16"/>
    <x v="1"/>
    <x v="1"/>
    <x v="4"/>
    <s v="Alimentaire"/>
    <n v="3"/>
    <x v="4"/>
    <n v="7500"/>
    <x v="2"/>
    <x v="2"/>
  </r>
  <r>
    <s v="V0281"/>
    <x v="17"/>
    <x v="1"/>
    <x v="1"/>
    <x v="4"/>
    <s v="Alimentaire"/>
    <n v="3"/>
    <x v="4"/>
    <n v="7500"/>
    <x v="2"/>
    <x v="2"/>
  </r>
  <r>
    <s v="V0377"/>
    <x v="18"/>
    <x v="2"/>
    <x v="3"/>
    <x v="4"/>
    <s v="Alimentaire"/>
    <n v="3"/>
    <x v="4"/>
    <n v="7500"/>
    <x v="2"/>
    <x v="3"/>
  </r>
  <r>
    <s v="V0012"/>
    <x v="10"/>
    <x v="1"/>
    <x v="5"/>
    <x v="5"/>
    <s v="Hygiène"/>
    <n v="10"/>
    <x v="5"/>
    <n v="7000"/>
    <x v="1"/>
    <x v="0"/>
  </r>
  <r>
    <s v="V0017"/>
    <x v="19"/>
    <x v="2"/>
    <x v="3"/>
    <x v="0"/>
    <s v="Alimentaire"/>
    <n v="2"/>
    <x v="0"/>
    <n v="7000"/>
    <x v="0"/>
    <x v="0"/>
  </r>
  <r>
    <s v="V0079"/>
    <x v="20"/>
    <x v="0"/>
    <x v="2"/>
    <x v="0"/>
    <s v="Alimentaire"/>
    <n v="2"/>
    <x v="0"/>
    <n v="7000"/>
    <x v="1"/>
    <x v="5"/>
  </r>
  <r>
    <s v="V0119"/>
    <x v="21"/>
    <x v="1"/>
    <x v="1"/>
    <x v="0"/>
    <s v="Alimentaire"/>
    <n v="2"/>
    <x v="0"/>
    <n v="7000"/>
    <x v="1"/>
    <x v="5"/>
  </r>
  <r>
    <s v="V0188"/>
    <x v="22"/>
    <x v="1"/>
    <x v="1"/>
    <x v="0"/>
    <s v="Alimentaire"/>
    <n v="2"/>
    <x v="0"/>
    <n v="7000"/>
    <x v="2"/>
    <x v="1"/>
  </r>
  <r>
    <s v="V0198"/>
    <x v="23"/>
    <x v="0"/>
    <x v="2"/>
    <x v="5"/>
    <s v="Hygiène"/>
    <n v="10"/>
    <x v="5"/>
    <n v="7000"/>
    <x v="1"/>
    <x v="1"/>
  </r>
  <r>
    <s v="V0253"/>
    <x v="24"/>
    <x v="1"/>
    <x v="5"/>
    <x v="0"/>
    <s v="Alimentaire"/>
    <n v="2"/>
    <x v="0"/>
    <n v="7000"/>
    <x v="0"/>
    <x v="2"/>
  </r>
  <r>
    <s v="V0315"/>
    <x v="25"/>
    <x v="0"/>
    <x v="0"/>
    <x v="0"/>
    <s v="Alimentaire"/>
    <n v="2"/>
    <x v="0"/>
    <n v="7000"/>
    <x v="1"/>
    <x v="2"/>
  </r>
  <r>
    <s v="V0375"/>
    <x v="26"/>
    <x v="0"/>
    <x v="2"/>
    <x v="0"/>
    <s v="Alimentaire"/>
    <n v="2"/>
    <x v="0"/>
    <n v="7000"/>
    <x v="0"/>
    <x v="3"/>
  </r>
  <r>
    <s v="V0398"/>
    <x v="27"/>
    <x v="1"/>
    <x v="5"/>
    <x v="0"/>
    <s v="Alimentaire"/>
    <n v="2"/>
    <x v="0"/>
    <n v="7000"/>
    <x v="1"/>
    <x v="3"/>
  </r>
  <r>
    <s v="V0082"/>
    <x v="28"/>
    <x v="0"/>
    <x v="0"/>
    <x v="6"/>
    <s v="Épicerie"/>
    <n v="10"/>
    <x v="6"/>
    <n v="6000"/>
    <x v="1"/>
    <x v="5"/>
  </r>
  <r>
    <s v="V0159"/>
    <x v="29"/>
    <x v="2"/>
    <x v="3"/>
    <x v="1"/>
    <s v="Boissons"/>
    <n v="6"/>
    <x v="1"/>
    <n v="6000"/>
    <x v="1"/>
    <x v="4"/>
  </r>
  <r>
    <s v="V0187"/>
    <x v="22"/>
    <x v="0"/>
    <x v="0"/>
    <x v="1"/>
    <s v="Boissons"/>
    <n v="6"/>
    <x v="1"/>
    <n v="6000"/>
    <x v="2"/>
    <x v="1"/>
  </r>
  <r>
    <s v="V0270"/>
    <x v="30"/>
    <x v="2"/>
    <x v="4"/>
    <x v="1"/>
    <s v="Boissons"/>
    <n v="6"/>
    <x v="1"/>
    <n v="6000"/>
    <x v="1"/>
    <x v="2"/>
  </r>
  <r>
    <s v="V0295"/>
    <x v="31"/>
    <x v="2"/>
    <x v="3"/>
    <x v="1"/>
    <s v="Boissons"/>
    <n v="6"/>
    <x v="1"/>
    <n v="6000"/>
    <x v="1"/>
    <x v="2"/>
  </r>
  <r>
    <s v="V0385"/>
    <x v="32"/>
    <x v="2"/>
    <x v="4"/>
    <x v="6"/>
    <s v="Épicerie"/>
    <n v="10"/>
    <x v="6"/>
    <n v="6000"/>
    <x v="2"/>
    <x v="3"/>
  </r>
  <r>
    <s v="V0326"/>
    <x v="33"/>
    <x v="1"/>
    <x v="5"/>
    <x v="2"/>
    <s v="Hygiène"/>
    <n v="6"/>
    <x v="2"/>
    <n v="5400"/>
    <x v="1"/>
    <x v="3"/>
  </r>
  <r>
    <s v="V0015"/>
    <x v="34"/>
    <x v="0"/>
    <x v="0"/>
    <x v="4"/>
    <s v="Alimentaire"/>
    <n v="2"/>
    <x v="4"/>
    <n v="5000"/>
    <x v="1"/>
    <x v="0"/>
  </r>
  <r>
    <s v="V0065"/>
    <x v="35"/>
    <x v="1"/>
    <x v="5"/>
    <x v="7"/>
    <s v="Boissons"/>
    <n v="10"/>
    <x v="7"/>
    <n v="5000"/>
    <x v="1"/>
    <x v="5"/>
  </r>
  <r>
    <s v="V0069"/>
    <x v="36"/>
    <x v="0"/>
    <x v="2"/>
    <x v="7"/>
    <s v="Boissons"/>
    <n v="10"/>
    <x v="7"/>
    <n v="5000"/>
    <x v="1"/>
    <x v="5"/>
  </r>
  <r>
    <s v="V0090"/>
    <x v="37"/>
    <x v="0"/>
    <x v="2"/>
    <x v="1"/>
    <s v="Boissons"/>
    <n v="5"/>
    <x v="1"/>
    <n v="5000"/>
    <x v="1"/>
    <x v="5"/>
  </r>
  <r>
    <s v="V0095"/>
    <x v="38"/>
    <x v="2"/>
    <x v="3"/>
    <x v="4"/>
    <s v="Alimentaire"/>
    <n v="2"/>
    <x v="4"/>
    <n v="5000"/>
    <x v="1"/>
    <x v="5"/>
  </r>
  <r>
    <s v="V0106"/>
    <x v="39"/>
    <x v="0"/>
    <x v="2"/>
    <x v="4"/>
    <s v="Alimentaire"/>
    <n v="2"/>
    <x v="4"/>
    <n v="5000"/>
    <x v="1"/>
    <x v="5"/>
  </r>
  <r>
    <s v="V0162"/>
    <x v="40"/>
    <x v="0"/>
    <x v="0"/>
    <x v="7"/>
    <s v="Boissons"/>
    <n v="10"/>
    <x v="7"/>
    <n v="5000"/>
    <x v="1"/>
    <x v="4"/>
  </r>
  <r>
    <s v="V0169"/>
    <x v="11"/>
    <x v="1"/>
    <x v="5"/>
    <x v="4"/>
    <s v="Alimentaire"/>
    <n v="2"/>
    <x v="4"/>
    <n v="5000"/>
    <x v="1"/>
    <x v="4"/>
  </r>
  <r>
    <s v="V0230"/>
    <x v="41"/>
    <x v="1"/>
    <x v="5"/>
    <x v="4"/>
    <s v="Alimentaire"/>
    <n v="2"/>
    <x v="4"/>
    <n v="5000"/>
    <x v="1"/>
    <x v="1"/>
  </r>
  <r>
    <s v="V0275"/>
    <x v="42"/>
    <x v="1"/>
    <x v="5"/>
    <x v="1"/>
    <s v="Boissons"/>
    <n v="5"/>
    <x v="1"/>
    <n v="5000"/>
    <x v="2"/>
    <x v="2"/>
  </r>
  <r>
    <s v="V0280"/>
    <x v="17"/>
    <x v="2"/>
    <x v="4"/>
    <x v="4"/>
    <s v="Alimentaire"/>
    <n v="2"/>
    <x v="4"/>
    <n v="5000"/>
    <x v="1"/>
    <x v="2"/>
  </r>
  <r>
    <s v="V0312"/>
    <x v="43"/>
    <x v="2"/>
    <x v="3"/>
    <x v="1"/>
    <s v="Boissons"/>
    <n v="5"/>
    <x v="1"/>
    <n v="5000"/>
    <x v="1"/>
    <x v="2"/>
  </r>
  <r>
    <s v="V0325"/>
    <x v="44"/>
    <x v="1"/>
    <x v="5"/>
    <x v="4"/>
    <s v="Alimentaire"/>
    <n v="2"/>
    <x v="4"/>
    <n v="5000"/>
    <x v="1"/>
    <x v="3"/>
  </r>
  <r>
    <s v="V0358"/>
    <x v="45"/>
    <x v="0"/>
    <x v="2"/>
    <x v="7"/>
    <s v="Boissons"/>
    <n v="10"/>
    <x v="7"/>
    <n v="5000"/>
    <x v="1"/>
    <x v="3"/>
  </r>
  <r>
    <s v="V0400"/>
    <x v="46"/>
    <x v="1"/>
    <x v="1"/>
    <x v="4"/>
    <s v="Alimentaire"/>
    <n v="2"/>
    <x v="4"/>
    <n v="5000"/>
    <x v="1"/>
    <x v="3"/>
  </r>
  <r>
    <s v="V0214"/>
    <x v="47"/>
    <x v="1"/>
    <x v="5"/>
    <x v="3"/>
    <s v="Alimentaire"/>
    <n v="6"/>
    <x v="3"/>
    <n v="4800"/>
    <x v="0"/>
    <x v="1"/>
  </r>
  <r>
    <s v="V0236"/>
    <x v="48"/>
    <x v="0"/>
    <x v="2"/>
    <x v="3"/>
    <s v="Alimentaire"/>
    <n v="6"/>
    <x v="3"/>
    <n v="4800"/>
    <x v="2"/>
    <x v="1"/>
  </r>
  <r>
    <s v="V0132"/>
    <x v="49"/>
    <x v="2"/>
    <x v="3"/>
    <x v="8"/>
    <s v="Alimentaire"/>
    <n v="10"/>
    <x v="8"/>
    <n v="4500"/>
    <x v="1"/>
    <x v="4"/>
  </r>
  <r>
    <s v="V0160"/>
    <x v="29"/>
    <x v="0"/>
    <x v="0"/>
    <x v="9"/>
    <s v="Alimentaire"/>
    <n v="3"/>
    <x v="9"/>
    <n v="4500"/>
    <x v="1"/>
    <x v="4"/>
  </r>
  <r>
    <s v="V0212"/>
    <x v="50"/>
    <x v="1"/>
    <x v="1"/>
    <x v="2"/>
    <s v="Hygiène"/>
    <n v="5"/>
    <x v="2"/>
    <n v="4500"/>
    <x v="2"/>
    <x v="1"/>
  </r>
  <r>
    <s v="V0239"/>
    <x v="51"/>
    <x v="2"/>
    <x v="3"/>
    <x v="9"/>
    <s v="Alimentaire"/>
    <n v="3"/>
    <x v="9"/>
    <n v="4500"/>
    <x v="1"/>
    <x v="1"/>
  </r>
  <r>
    <s v="V0286"/>
    <x v="52"/>
    <x v="0"/>
    <x v="0"/>
    <x v="9"/>
    <s v="Alimentaire"/>
    <n v="3"/>
    <x v="9"/>
    <n v="4500"/>
    <x v="0"/>
    <x v="2"/>
  </r>
  <r>
    <s v="V0304"/>
    <x v="53"/>
    <x v="1"/>
    <x v="5"/>
    <x v="2"/>
    <s v="Hygiène"/>
    <n v="5"/>
    <x v="2"/>
    <n v="4500"/>
    <x v="2"/>
    <x v="2"/>
  </r>
  <r>
    <s v="V0352"/>
    <x v="54"/>
    <x v="1"/>
    <x v="1"/>
    <x v="2"/>
    <s v="Hygiène"/>
    <n v="5"/>
    <x v="2"/>
    <n v="4500"/>
    <x v="2"/>
    <x v="3"/>
  </r>
  <r>
    <s v="V0392"/>
    <x v="55"/>
    <x v="2"/>
    <x v="4"/>
    <x v="2"/>
    <s v="Hygiène"/>
    <n v="5"/>
    <x v="2"/>
    <n v="4500"/>
    <x v="1"/>
    <x v="3"/>
  </r>
  <r>
    <s v="V0058"/>
    <x v="56"/>
    <x v="0"/>
    <x v="0"/>
    <x v="5"/>
    <s v="Hygiène"/>
    <n v="6"/>
    <x v="5"/>
    <n v="4200"/>
    <x v="1"/>
    <x v="0"/>
  </r>
  <r>
    <s v="V0060"/>
    <x v="57"/>
    <x v="0"/>
    <x v="0"/>
    <x v="5"/>
    <s v="Hygiène"/>
    <n v="6"/>
    <x v="5"/>
    <n v="4200"/>
    <x v="1"/>
    <x v="0"/>
  </r>
  <r>
    <s v="V0074"/>
    <x v="58"/>
    <x v="2"/>
    <x v="4"/>
    <x v="5"/>
    <s v="Hygiène"/>
    <n v="6"/>
    <x v="5"/>
    <n v="4200"/>
    <x v="1"/>
    <x v="5"/>
  </r>
  <r>
    <s v="V0146"/>
    <x v="59"/>
    <x v="0"/>
    <x v="2"/>
    <x v="5"/>
    <s v="Hygiène"/>
    <n v="6"/>
    <x v="5"/>
    <n v="4200"/>
    <x v="1"/>
    <x v="4"/>
  </r>
  <r>
    <s v="V0331"/>
    <x v="60"/>
    <x v="2"/>
    <x v="4"/>
    <x v="5"/>
    <s v="Hygiène"/>
    <n v="6"/>
    <x v="5"/>
    <n v="4200"/>
    <x v="1"/>
    <x v="3"/>
  </r>
  <r>
    <s v="V0049"/>
    <x v="61"/>
    <x v="2"/>
    <x v="4"/>
    <x v="3"/>
    <s v="Alimentaire"/>
    <n v="5"/>
    <x v="3"/>
    <n v="4000"/>
    <x v="1"/>
    <x v="0"/>
  </r>
  <r>
    <s v="V0165"/>
    <x v="11"/>
    <x v="1"/>
    <x v="1"/>
    <x v="3"/>
    <s v="Alimentaire"/>
    <n v="5"/>
    <x v="3"/>
    <n v="4000"/>
    <x v="1"/>
    <x v="4"/>
  </r>
  <r>
    <s v="V0229"/>
    <x v="41"/>
    <x v="0"/>
    <x v="2"/>
    <x v="10"/>
    <s v="Alimentaire"/>
    <n v="10"/>
    <x v="10"/>
    <n v="4000"/>
    <x v="2"/>
    <x v="1"/>
  </r>
  <r>
    <s v="V0254"/>
    <x v="62"/>
    <x v="2"/>
    <x v="4"/>
    <x v="1"/>
    <s v="Boissons"/>
    <n v="4"/>
    <x v="1"/>
    <n v="4000"/>
    <x v="0"/>
    <x v="2"/>
  </r>
  <r>
    <s v="V0293"/>
    <x v="31"/>
    <x v="1"/>
    <x v="1"/>
    <x v="10"/>
    <s v="Alimentaire"/>
    <n v="10"/>
    <x v="10"/>
    <n v="4000"/>
    <x v="1"/>
    <x v="2"/>
  </r>
  <r>
    <s v="V0308"/>
    <x v="63"/>
    <x v="1"/>
    <x v="1"/>
    <x v="1"/>
    <s v="Boissons"/>
    <n v="4"/>
    <x v="1"/>
    <n v="4000"/>
    <x v="1"/>
    <x v="2"/>
  </r>
  <r>
    <s v="V0339"/>
    <x v="64"/>
    <x v="1"/>
    <x v="5"/>
    <x v="3"/>
    <s v="Alimentaire"/>
    <n v="5"/>
    <x v="3"/>
    <n v="4000"/>
    <x v="2"/>
    <x v="3"/>
  </r>
  <r>
    <s v="V0374"/>
    <x v="65"/>
    <x v="0"/>
    <x v="0"/>
    <x v="10"/>
    <s v="Alimentaire"/>
    <n v="10"/>
    <x v="10"/>
    <n v="4000"/>
    <x v="1"/>
    <x v="3"/>
  </r>
  <r>
    <s v="V0381"/>
    <x v="66"/>
    <x v="0"/>
    <x v="2"/>
    <x v="10"/>
    <s v="Alimentaire"/>
    <n v="10"/>
    <x v="10"/>
    <n v="4000"/>
    <x v="0"/>
    <x v="3"/>
  </r>
  <r>
    <s v="V0033"/>
    <x v="0"/>
    <x v="1"/>
    <x v="5"/>
    <x v="11"/>
    <s v="Épicerie"/>
    <n v="3"/>
    <x v="11"/>
    <n v="3600"/>
    <x v="2"/>
    <x v="0"/>
  </r>
  <r>
    <s v="V0109"/>
    <x v="67"/>
    <x v="1"/>
    <x v="5"/>
    <x v="2"/>
    <s v="Hygiène"/>
    <n v="4"/>
    <x v="2"/>
    <n v="3600"/>
    <x v="1"/>
    <x v="5"/>
  </r>
  <r>
    <s v="V0117"/>
    <x v="68"/>
    <x v="1"/>
    <x v="1"/>
    <x v="6"/>
    <s v="Épicerie"/>
    <n v="6"/>
    <x v="6"/>
    <n v="3600"/>
    <x v="2"/>
    <x v="5"/>
  </r>
  <r>
    <s v="V0138"/>
    <x v="69"/>
    <x v="2"/>
    <x v="3"/>
    <x v="11"/>
    <s v="Épicerie"/>
    <n v="3"/>
    <x v="11"/>
    <n v="3600"/>
    <x v="0"/>
    <x v="4"/>
  </r>
  <r>
    <s v="V0233"/>
    <x v="70"/>
    <x v="2"/>
    <x v="3"/>
    <x v="11"/>
    <s v="Épicerie"/>
    <n v="3"/>
    <x v="11"/>
    <n v="3600"/>
    <x v="1"/>
    <x v="1"/>
  </r>
  <r>
    <s v="V0265"/>
    <x v="71"/>
    <x v="2"/>
    <x v="3"/>
    <x v="6"/>
    <s v="Épicerie"/>
    <n v="6"/>
    <x v="6"/>
    <n v="3600"/>
    <x v="1"/>
    <x v="2"/>
  </r>
  <r>
    <s v="V0310"/>
    <x v="63"/>
    <x v="0"/>
    <x v="2"/>
    <x v="2"/>
    <s v="Hygiène"/>
    <n v="4"/>
    <x v="2"/>
    <n v="3600"/>
    <x v="1"/>
    <x v="2"/>
  </r>
  <r>
    <s v="V0330"/>
    <x v="72"/>
    <x v="1"/>
    <x v="1"/>
    <x v="11"/>
    <s v="Épicerie"/>
    <n v="3"/>
    <x v="11"/>
    <n v="3600"/>
    <x v="1"/>
    <x v="3"/>
  </r>
  <r>
    <s v="V0006"/>
    <x v="73"/>
    <x v="1"/>
    <x v="1"/>
    <x v="0"/>
    <s v="Alimentaire"/>
    <n v="1"/>
    <x v="0"/>
    <n v="3500"/>
    <x v="2"/>
    <x v="0"/>
  </r>
  <r>
    <s v="V0036"/>
    <x v="74"/>
    <x v="2"/>
    <x v="4"/>
    <x v="0"/>
    <s v="Alimentaire"/>
    <n v="1"/>
    <x v="0"/>
    <n v="3500"/>
    <x v="2"/>
    <x v="0"/>
  </r>
  <r>
    <s v="V0052"/>
    <x v="75"/>
    <x v="0"/>
    <x v="2"/>
    <x v="5"/>
    <s v="Hygiène"/>
    <n v="5"/>
    <x v="5"/>
    <n v="3500"/>
    <x v="2"/>
    <x v="0"/>
  </r>
  <r>
    <s v="V0073"/>
    <x v="76"/>
    <x v="1"/>
    <x v="1"/>
    <x v="0"/>
    <s v="Alimentaire"/>
    <n v="1"/>
    <x v="0"/>
    <n v="3500"/>
    <x v="1"/>
    <x v="5"/>
  </r>
  <r>
    <s v="V0076"/>
    <x v="58"/>
    <x v="0"/>
    <x v="0"/>
    <x v="5"/>
    <s v="Hygiène"/>
    <n v="5"/>
    <x v="5"/>
    <n v="3500"/>
    <x v="0"/>
    <x v="5"/>
  </r>
  <r>
    <s v="V0080"/>
    <x v="20"/>
    <x v="2"/>
    <x v="3"/>
    <x v="0"/>
    <s v="Alimentaire"/>
    <n v="1"/>
    <x v="0"/>
    <n v="3500"/>
    <x v="1"/>
    <x v="5"/>
  </r>
  <r>
    <s v="V0081"/>
    <x v="28"/>
    <x v="0"/>
    <x v="0"/>
    <x v="0"/>
    <s v="Alimentaire"/>
    <n v="1"/>
    <x v="0"/>
    <n v="3500"/>
    <x v="1"/>
    <x v="5"/>
  </r>
  <r>
    <s v="V0122"/>
    <x v="77"/>
    <x v="1"/>
    <x v="5"/>
    <x v="0"/>
    <s v="Alimentaire"/>
    <n v="1"/>
    <x v="0"/>
    <n v="3500"/>
    <x v="1"/>
    <x v="5"/>
  </r>
  <r>
    <s v="V0127"/>
    <x v="78"/>
    <x v="2"/>
    <x v="3"/>
    <x v="5"/>
    <s v="Hygiène"/>
    <n v="5"/>
    <x v="5"/>
    <n v="3500"/>
    <x v="1"/>
    <x v="4"/>
  </r>
  <r>
    <s v="V0129"/>
    <x v="79"/>
    <x v="1"/>
    <x v="5"/>
    <x v="0"/>
    <s v="Alimentaire"/>
    <n v="1"/>
    <x v="0"/>
    <n v="3500"/>
    <x v="0"/>
    <x v="4"/>
  </r>
  <r>
    <s v="V0201"/>
    <x v="80"/>
    <x v="2"/>
    <x v="4"/>
    <x v="0"/>
    <s v="Alimentaire"/>
    <n v="1"/>
    <x v="0"/>
    <n v="3500"/>
    <x v="1"/>
    <x v="1"/>
  </r>
  <r>
    <s v="V0269"/>
    <x v="81"/>
    <x v="0"/>
    <x v="0"/>
    <x v="0"/>
    <s v="Alimentaire"/>
    <n v="1"/>
    <x v="0"/>
    <n v="3500"/>
    <x v="1"/>
    <x v="2"/>
  </r>
  <r>
    <s v="V0277"/>
    <x v="82"/>
    <x v="1"/>
    <x v="5"/>
    <x v="0"/>
    <s v="Alimentaire"/>
    <n v="1"/>
    <x v="0"/>
    <n v="3500"/>
    <x v="1"/>
    <x v="2"/>
  </r>
  <r>
    <s v="V0278"/>
    <x v="83"/>
    <x v="1"/>
    <x v="5"/>
    <x v="5"/>
    <s v="Hygiène"/>
    <n v="5"/>
    <x v="5"/>
    <n v="3500"/>
    <x v="0"/>
    <x v="2"/>
  </r>
  <r>
    <s v="V0285"/>
    <x v="52"/>
    <x v="0"/>
    <x v="2"/>
    <x v="0"/>
    <s v="Alimentaire"/>
    <n v="1"/>
    <x v="0"/>
    <n v="3500"/>
    <x v="2"/>
    <x v="2"/>
  </r>
  <r>
    <s v="V0004"/>
    <x v="84"/>
    <x v="1"/>
    <x v="5"/>
    <x v="3"/>
    <s v="Alimentaire"/>
    <n v="4"/>
    <x v="3"/>
    <n v="3200"/>
    <x v="1"/>
    <x v="0"/>
  </r>
  <r>
    <s v="V0077"/>
    <x v="58"/>
    <x v="0"/>
    <x v="2"/>
    <x v="3"/>
    <s v="Alimentaire"/>
    <n v="4"/>
    <x v="3"/>
    <n v="3200"/>
    <x v="0"/>
    <x v="5"/>
  </r>
  <r>
    <s v="V0114"/>
    <x v="68"/>
    <x v="0"/>
    <x v="0"/>
    <x v="3"/>
    <s v="Alimentaire"/>
    <n v="4"/>
    <x v="3"/>
    <n v="3200"/>
    <x v="1"/>
    <x v="5"/>
  </r>
  <r>
    <s v="V0038"/>
    <x v="74"/>
    <x v="2"/>
    <x v="3"/>
    <x v="9"/>
    <s v="Alimentaire"/>
    <n v="2"/>
    <x v="9"/>
    <n v="3000"/>
    <x v="2"/>
    <x v="0"/>
  </r>
  <r>
    <s v="V0045"/>
    <x v="5"/>
    <x v="2"/>
    <x v="4"/>
    <x v="12"/>
    <s v="Hygiène"/>
    <n v="10"/>
    <x v="12"/>
    <n v="3000"/>
    <x v="1"/>
    <x v="0"/>
  </r>
  <r>
    <s v="V0068"/>
    <x v="36"/>
    <x v="2"/>
    <x v="4"/>
    <x v="9"/>
    <s v="Alimentaire"/>
    <n v="2"/>
    <x v="9"/>
    <n v="3000"/>
    <x v="1"/>
    <x v="5"/>
  </r>
  <r>
    <s v="V0084"/>
    <x v="85"/>
    <x v="0"/>
    <x v="0"/>
    <x v="7"/>
    <s v="Boissons"/>
    <n v="6"/>
    <x v="7"/>
    <n v="3000"/>
    <x v="2"/>
    <x v="5"/>
  </r>
  <r>
    <s v="V0085"/>
    <x v="86"/>
    <x v="2"/>
    <x v="4"/>
    <x v="9"/>
    <s v="Alimentaire"/>
    <n v="2"/>
    <x v="9"/>
    <n v="3000"/>
    <x v="1"/>
    <x v="5"/>
  </r>
  <r>
    <s v="V0111"/>
    <x v="87"/>
    <x v="0"/>
    <x v="2"/>
    <x v="9"/>
    <s v="Alimentaire"/>
    <n v="2"/>
    <x v="9"/>
    <n v="3000"/>
    <x v="1"/>
    <x v="5"/>
  </r>
  <r>
    <s v="V0120"/>
    <x v="21"/>
    <x v="0"/>
    <x v="0"/>
    <x v="9"/>
    <s v="Alimentaire"/>
    <n v="2"/>
    <x v="9"/>
    <n v="3000"/>
    <x v="2"/>
    <x v="5"/>
  </r>
  <r>
    <s v="V0156"/>
    <x v="88"/>
    <x v="1"/>
    <x v="5"/>
    <x v="9"/>
    <s v="Alimentaire"/>
    <n v="2"/>
    <x v="9"/>
    <n v="3000"/>
    <x v="2"/>
    <x v="4"/>
  </r>
  <r>
    <s v="V0191"/>
    <x v="89"/>
    <x v="0"/>
    <x v="0"/>
    <x v="9"/>
    <s v="Alimentaire"/>
    <n v="2"/>
    <x v="9"/>
    <n v="3000"/>
    <x v="2"/>
    <x v="1"/>
  </r>
  <r>
    <s v="V0192"/>
    <x v="7"/>
    <x v="2"/>
    <x v="4"/>
    <x v="12"/>
    <s v="Hygiène"/>
    <n v="10"/>
    <x v="12"/>
    <n v="3000"/>
    <x v="1"/>
    <x v="1"/>
  </r>
  <r>
    <s v="V0200"/>
    <x v="80"/>
    <x v="2"/>
    <x v="3"/>
    <x v="9"/>
    <s v="Alimentaire"/>
    <n v="2"/>
    <x v="9"/>
    <n v="3000"/>
    <x v="1"/>
    <x v="1"/>
  </r>
  <r>
    <s v="V0208"/>
    <x v="13"/>
    <x v="0"/>
    <x v="2"/>
    <x v="9"/>
    <s v="Alimentaire"/>
    <n v="2"/>
    <x v="9"/>
    <n v="3000"/>
    <x v="2"/>
    <x v="1"/>
  </r>
  <r>
    <s v="V0247"/>
    <x v="90"/>
    <x v="0"/>
    <x v="0"/>
    <x v="9"/>
    <s v="Alimentaire"/>
    <n v="2"/>
    <x v="9"/>
    <n v="3000"/>
    <x v="0"/>
    <x v="1"/>
  </r>
  <r>
    <s v="V0279"/>
    <x v="17"/>
    <x v="1"/>
    <x v="1"/>
    <x v="9"/>
    <s v="Alimentaire"/>
    <n v="2"/>
    <x v="9"/>
    <n v="3000"/>
    <x v="1"/>
    <x v="2"/>
  </r>
  <r>
    <s v="V0282"/>
    <x v="17"/>
    <x v="1"/>
    <x v="1"/>
    <x v="1"/>
    <s v="Boissons"/>
    <n v="3"/>
    <x v="1"/>
    <n v="3000"/>
    <x v="2"/>
    <x v="2"/>
  </r>
  <r>
    <s v="V0317"/>
    <x v="25"/>
    <x v="0"/>
    <x v="2"/>
    <x v="9"/>
    <s v="Alimentaire"/>
    <n v="2"/>
    <x v="9"/>
    <n v="3000"/>
    <x v="1"/>
    <x v="2"/>
  </r>
  <r>
    <s v="V0337"/>
    <x v="64"/>
    <x v="2"/>
    <x v="4"/>
    <x v="9"/>
    <s v="Alimentaire"/>
    <n v="2"/>
    <x v="9"/>
    <n v="3000"/>
    <x v="1"/>
    <x v="3"/>
  </r>
  <r>
    <s v="V0399"/>
    <x v="46"/>
    <x v="1"/>
    <x v="1"/>
    <x v="9"/>
    <s v="Alimentaire"/>
    <n v="2"/>
    <x v="9"/>
    <n v="3000"/>
    <x v="0"/>
    <x v="3"/>
  </r>
  <r>
    <s v="V0108"/>
    <x v="67"/>
    <x v="1"/>
    <x v="5"/>
    <x v="5"/>
    <s v="Hygiène"/>
    <n v="4"/>
    <x v="5"/>
    <n v="2800"/>
    <x v="1"/>
    <x v="5"/>
  </r>
  <r>
    <s v="V0154"/>
    <x v="91"/>
    <x v="2"/>
    <x v="3"/>
    <x v="5"/>
    <s v="Hygiène"/>
    <n v="4"/>
    <x v="5"/>
    <n v="2800"/>
    <x v="1"/>
    <x v="4"/>
  </r>
  <r>
    <s v="V0244"/>
    <x v="92"/>
    <x v="2"/>
    <x v="3"/>
    <x v="5"/>
    <s v="Hygiène"/>
    <n v="4"/>
    <x v="5"/>
    <n v="2800"/>
    <x v="1"/>
    <x v="1"/>
  </r>
  <r>
    <s v="V0371"/>
    <x v="8"/>
    <x v="1"/>
    <x v="5"/>
    <x v="5"/>
    <s v="Hygiène"/>
    <n v="4"/>
    <x v="5"/>
    <n v="2800"/>
    <x v="1"/>
    <x v="3"/>
  </r>
  <r>
    <s v="V0376"/>
    <x v="26"/>
    <x v="2"/>
    <x v="4"/>
    <x v="5"/>
    <s v="Hygiène"/>
    <n v="4"/>
    <x v="5"/>
    <n v="2800"/>
    <x v="1"/>
    <x v="3"/>
  </r>
  <r>
    <s v="V0391"/>
    <x v="55"/>
    <x v="0"/>
    <x v="2"/>
    <x v="5"/>
    <s v="Hygiène"/>
    <n v="4"/>
    <x v="5"/>
    <n v="2800"/>
    <x v="2"/>
    <x v="3"/>
  </r>
  <r>
    <s v="V0025"/>
    <x v="93"/>
    <x v="2"/>
    <x v="4"/>
    <x v="2"/>
    <s v="Hygiène"/>
    <n v="3"/>
    <x v="2"/>
    <n v="2700"/>
    <x v="1"/>
    <x v="0"/>
  </r>
  <r>
    <s v="V0043"/>
    <x v="5"/>
    <x v="0"/>
    <x v="0"/>
    <x v="2"/>
    <s v="Hygiène"/>
    <n v="3"/>
    <x v="2"/>
    <n v="2700"/>
    <x v="2"/>
    <x v="0"/>
  </r>
  <r>
    <s v="V0089"/>
    <x v="37"/>
    <x v="0"/>
    <x v="2"/>
    <x v="2"/>
    <s v="Hygiène"/>
    <n v="3"/>
    <x v="2"/>
    <n v="2700"/>
    <x v="2"/>
    <x v="5"/>
  </r>
  <r>
    <s v="V0092"/>
    <x v="38"/>
    <x v="0"/>
    <x v="2"/>
    <x v="8"/>
    <s v="Alimentaire"/>
    <n v="6"/>
    <x v="8"/>
    <n v="2700"/>
    <x v="2"/>
    <x v="5"/>
  </r>
  <r>
    <s v="V0189"/>
    <x v="94"/>
    <x v="0"/>
    <x v="0"/>
    <x v="8"/>
    <s v="Alimentaire"/>
    <n v="6"/>
    <x v="8"/>
    <n v="2700"/>
    <x v="1"/>
    <x v="1"/>
  </r>
  <r>
    <s v="V0032"/>
    <x v="0"/>
    <x v="1"/>
    <x v="5"/>
    <x v="7"/>
    <s v="Boissons"/>
    <n v="5"/>
    <x v="7"/>
    <n v="2500"/>
    <x v="2"/>
    <x v="0"/>
  </r>
  <r>
    <s v="V0040"/>
    <x v="95"/>
    <x v="1"/>
    <x v="1"/>
    <x v="7"/>
    <s v="Boissons"/>
    <n v="5"/>
    <x v="7"/>
    <n v="2500"/>
    <x v="1"/>
    <x v="0"/>
  </r>
  <r>
    <s v="V0087"/>
    <x v="86"/>
    <x v="2"/>
    <x v="3"/>
    <x v="4"/>
    <s v="Alimentaire"/>
    <n v="1"/>
    <x v="4"/>
    <n v="2500"/>
    <x v="1"/>
    <x v="5"/>
  </r>
  <r>
    <s v="V0088"/>
    <x v="37"/>
    <x v="2"/>
    <x v="3"/>
    <x v="4"/>
    <s v="Alimentaire"/>
    <n v="1"/>
    <x v="4"/>
    <n v="2500"/>
    <x v="1"/>
    <x v="5"/>
  </r>
  <r>
    <s v="V0101"/>
    <x v="96"/>
    <x v="0"/>
    <x v="0"/>
    <x v="4"/>
    <s v="Alimentaire"/>
    <n v="1"/>
    <x v="4"/>
    <n v="2500"/>
    <x v="1"/>
    <x v="5"/>
  </r>
  <r>
    <s v="V0103"/>
    <x v="96"/>
    <x v="2"/>
    <x v="3"/>
    <x v="4"/>
    <s v="Alimentaire"/>
    <n v="1"/>
    <x v="4"/>
    <n v="2500"/>
    <x v="1"/>
    <x v="5"/>
  </r>
  <r>
    <s v="V0107"/>
    <x v="39"/>
    <x v="1"/>
    <x v="1"/>
    <x v="4"/>
    <s v="Alimentaire"/>
    <n v="1"/>
    <x v="4"/>
    <n v="2500"/>
    <x v="1"/>
    <x v="5"/>
  </r>
  <r>
    <s v="V0182"/>
    <x v="1"/>
    <x v="1"/>
    <x v="5"/>
    <x v="7"/>
    <s v="Boissons"/>
    <n v="5"/>
    <x v="7"/>
    <n v="2500"/>
    <x v="1"/>
    <x v="1"/>
  </r>
  <r>
    <s v="V0183"/>
    <x v="6"/>
    <x v="1"/>
    <x v="1"/>
    <x v="4"/>
    <s v="Alimentaire"/>
    <n v="1"/>
    <x v="4"/>
    <n v="2500"/>
    <x v="2"/>
    <x v="1"/>
  </r>
  <r>
    <s v="V0190"/>
    <x v="94"/>
    <x v="1"/>
    <x v="5"/>
    <x v="4"/>
    <s v="Alimentaire"/>
    <n v="1"/>
    <x v="4"/>
    <n v="2500"/>
    <x v="2"/>
    <x v="1"/>
  </r>
  <r>
    <s v="V0228"/>
    <x v="97"/>
    <x v="2"/>
    <x v="4"/>
    <x v="4"/>
    <s v="Alimentaire"/>
    <n v="1"/>
    <x v="4"/>
    <n v="2500"/>
    <x v="0"/>
    <x v="1"/>
  </r>
  <r>
    <s v="V0235"/>
    <x v="48"/>
    <x v="1"/>
    <x v="5"/>
    <x v="4"/>
    <s v="Alimentaire"/>
    <n v="1"/>
    <x v="4"/>
    <n v="2500"/>
    <x v="1"/>
    <x v="1"/>
  </r>
  <r>
    <s v="V0246"/>
    <x v="90"/>
    <x v="0"/>
    <x v="2"/>
    <x v="4"/>
    <s v="Alimentaire"/>
    <n v="1"/>
    <x v="4"/>
    <n v="2500"/>
    <x v="2"/>
    <x v="1"/>
  </r>
  <r>
    <s v="V0249"/>
    <x v="24"/>
    <x v="0"/>
    <x v="2"/>
    <x v="4"/>
    <s v="Alimentaire"/>
    <n v="1"/>
    <x v="4"/>
    <n v="2500"/>
    <x v="0"/>
    <x v="2"/>
  </r>
  <r>
    <s v="V0343"/>
    <x v="98"/>
    <x v="0"/>
    <x v="2"/>
    <x v="13"/>
    <s v="Épicerie"/>
    <n v="10"/>
    <x v="13"/>
    <n v="2500"/>
    <x v="2"/>
    <x v="3"/>
  </r>
  <r>
    <s v="V0364"/>
    <x v="14"/>
    <x v="2"/>
    <x v="4"/>
    <x v="7"/>
    <s v="Boissons"/>
    <n v="5"/>
    <x v="7"/>
    <n v="2500"/>
    <x v="0"/>
    <x v="3"/>
  </r>
  <r>
    <s v="V0368"/>
    <x v="99"/>
    <x v="1"/>
    <x v="1"/>
    <x v="4"/>
    <s v="Alimentaire"/>
    <n v="1"/>
    <x v="4"/>
    <n v="2500"/>
    <x v="0"/>
    <x v="3"/>
  </r>
  <r>
    <s v="V0050"/>
    <x v="75"/>
    <x v="0"/>
    <x v="0"/>
    <x v="11"/>
    <s v="Épicerie"/>
    <n v="2"/>
    <x v="11"/>
    <n v="2400"/>
    <x v="1"/>
    <x v="0"/>
  </r>
  <r>
    <s v="V0125"/>
    <x v="100"/>
    <x v="1"/>
    <x v="5"/>
    <x v="6"/>
    <s v="Épicerie"/>
    <n v="4"/>
    <x v="6"/>
    <n v="2400"/>
    <x v="1"/>
    <x v="4"/>
  </r>
  <r>
    <s v="V0141"/>
    <x v="101"/>
    <x v="0"/>
    <x v="0"/>
    <x v="11"/>
    <s v="Épicerie"/>
    <n v="2"/>
    <x v="11"/>
    <n v="2400"/>
    <x v="1"/>
    <x v="4"/>
  </r>
  <r>
    <s v="V0152"/>
    <x v="91"/>
    <x v="2"/>
    <x v="4"/>
    <x v="3"/>
    <s v="Alimentaire"/>
    <n v="3"/>
    <x v="3"/>
    <n v="2400"/>
    <x v="2"/>
    <x v="4"/>
  </r>
  <r>
    <s v="V0155"/>
    <x v="91"/>
    <x v="2"/>
    <x v="3"/>
    <x v="14"/>
    <s v="Boissons"/>
    <n v="6"/>
    <x v="10"/>
    <n v="2400"/>
    <x v="1"/>
    <x v="4"/>
  </r>
  <r>
    <s v="V0157"/>
    <x v="88"/>
    <x v="2"/>
    <x v="3"/>
    <x v="10"/>
    <s v="Alimentaire"/>
    <n v="6"/>
    <x v="10"/>
    <n v="2400"/>
    <x v="1"/>
    <x v="4"/>
  </r>
  <r>
    <s v="V0158"/>
    <x v="88"/>
    <x v="1"/>
    <x v="1"/>
    <x v="11"/>
    <s v="Épicerie"/>
    <n v="2"/>
    <x v="11"/>
    <n v="2400"/>
    <x v="1"/>
    <x v="4"/>
  </r>
  <r>
    <s v="V0197"/>
    <x v="23"/>
    <x v="2"/>
    <x v="4"/>
    <x v="11"/>
    <s v="Épicerie"/>
    <n v="2"/>
    <x v="11"/>
    <n v="2400"/>
    <x v="1"/>
    <x v="1"/>
  </r>
  <r>
    <s v="V0205"/>
    <x v="13"/>
    <x v="2"/>
    <x v="4"/>
    <x v="11"/>
    <s v="Épicerie"/>
    <n v="2"/>
    <x v="11"/>
    <n v="2400"/>
    <x v="0"/>
    <x v="1"/>
  </r>
  <r>
    <s v="V0210"/>
    <x v="102"/>
    <x v="2"/>
    <x v="4"/>
    <x v="3"/>
    <s v="Alimentaire"/>
    <n v="3"/>
    <x v="3"/>
    <n v="2400"/>
    <x v="2"/>
    <x v="1"/>
  </r>
  <r>
    <s v="V0224"/>
    <x v="2"/>
    <x v="0"/>
    <x v="2"/>
    <x v="6"/>
    <s v="Épicerie"/>
    <n v="4"/>
    <x v="6"/>
    <n v="2400"/>
    <x v="1"/>
    <x v="1"/>
  </r>
  <r>
    <s v="V0225"/>
    <x v="97"/>
    <x v="1"/>
    <x v="5"/>
    <x v="6"/>
    <s v="Épicerie"/>
    <n v="4"/>
    <x v="6"/>
    <n v="2400"/>
    <x v="2"/>
    <x v="1"/>
  </r>
  <r>
    <s v="V0257"/>
    <x v="103"/>
    <x v="0"/>
    <x v="2"/>
    <x v="14"/>
    <s v="Boissons"/>
    <n v="6"/>
    <x v="10"/>
    <n v="2400"/>
    <x v="1"/>
    <x v="2"/>
  </r>
  <r>
    <s v="V0320"/>
    <x v="104"/>
    <x v="0"/>
    <x v="0"/>
    <x v="11"/>
    <s v="Épicerie"/>
    <n v="2"/>
    <x v="11"/>
    <n v="2400"/>
    <x v="1"/>
    <x v="3"/>
  </r>
  <r>
    <s v="V0329"/>
    <x v="72"/>
    <x v="1"/>
    <x v="5"/>
    <x v="10"/>
    <s v="Alimentaire"/>
    <n v="6"/>
    <x v="10"/>
    <n v="2400"/>
    <x v="1"/>
    <x v="3"/>
  </r>
  <r>
    <s v="V0338"/>
    <x v="64"/>
    <x v="2"/>
    <x v="4"/>
    <x v="6"/>
    <s v="Épicerie"/>
    <n v="4"/>
    <x v="6"/>
    <n v="2400"/>
    <x v="1"/>
    <x v="3"/>
  </r>
  <r>
    <s v="V0366"/>
    <x v="14"/>
    <x v="2"/>
    <x v="3"/>
    <x v="10"/>
    <s v="Alimentaire"/>
    <n v="6"/>
    <x v="10"/>
    <n v="2400"/>
    <x v="1"/>
    <x v="3"/>
  </r>
  <r>
    <s v="V0369"/>
    <x v="99"/>
    <x v="2"/>
    <x v="3"/>
    <x v="11"/>
    <s v="Épicerie"/>
    <n v="2"/>
    <x v="11"/>
    <n v="2400"/>
    <x v="1"/>
    <x v="3"/>
  </r>
  <r>
    <s v="V0026"/>
    <x v="105"/>
    <x v="1"/>
    <x v="1"/>
    <x v="8"/>
    <s v="Alimentaire"/>
    <n v="5"/>
    <x v="8"/>
    <n v="2250"/>
    <x v="1"/>
    <x v="0"/>
  </r>
  <r>
    <s v="V0039"/>
    <x v="95"/>
    <x v="0"/>
    <x v="2"/>
    <x v="8"/>
    <s v="Alimentaire"/>
    <n v="5"/>
    <x v="8"/>
    <n v="2250"/>
    <x v="1"/>
    <x v="0"/>
  </r>
  <r>
    <s v="V0066"/>
    <x v="35"/>
    <x v="1"/>
    <x v="5"/>
    <x v="8"/>
    <s v="Alimentaire"/>
    <n v="5"/>
    <x v="8"/>
    <n v="2250"/>
    <x v="1"/>
    <x v="5"/>
  </r>
  <r>
    <s v="V0070"/>
    <x v="106"/>
    <x v="2"/>
    <x v="3"/>
    <x v="8"/>
    <s v="Alimentaire"/>
    <n v="5"/>
    <x v="8"/>
    <n v="2250"/>
    <x v="2"/>
    <x v="5"/>
  </r>
  <r>
    <s v="V0147"/>
    <x v="59"/>
    <x v="1"/>
    <x v="1"/>
    <x v="8"/>
    <s v="Alimentaire"/>
    <n v="5"/>
    <x v="8"/>
    <n v="2250"/>
    <x v="1"/>
    <x v="4"/>
  </r>
  <r>
    <s v="V0037"/>
    <x v="74"/>
    <x v="0"/>
    <x v="2"/>
    <x v="5"/>
    <s v="Hygiène"/>
    <n v="3"/>
    <x v="5"/>
    <n v="2100"/>
    <x v="2"/>
    <x v="0"/>
  </r>
  <r>
    <s v="V0048"/>
    <x v="107"/>
    <x v="2"/>
    <x v="4"/>
    <x v="5"/>
    <s v="Hygiène"/>
    <n v="3"/>
    <x v="5"/>
    <n v="2100"/>
    <x v="0"/>
    <x v="0"/>
  </r>
  <r>
    <s v="V0126"/>
    <x v="100"/>
    <x v="0"/>
    <x v="0"/>
    <x v="5"/>
    <s v="Hygiène"/>
    <n v="3"/>
    <x v="5"/>
    <n v="2100"/>
    <x v="1"/>
    <x v="4"/>
  </r>
  <r>
    <s v="V0231"/>
    <x v="41"/>
    <x v="1"/>
    <x v="1"/>
    <x v="5"/>
    <s v="Hygiène"/>
    <n v="3"/>
    <x v="5"/>
    <n v="2100"/>
    <x v="2"/>
    <x v="1"/>
  </r>
  <r>
    <s v="V0349"/>
    <x v="108"/>
    <x v="2"/>
    <x v="4"/>
    <x v="5"/>
    <s v="Hygiène"/>
    <n v="3"/>
    <x v="5"/>
    <n v="2100"/>
    <x v="2"/>
    <x v="3"/>
  </r>
  <r>
    <s v="V0011"/>
    <x v="10"/>
    <x v="1"/>
    <x v="5"/>
    <x v="7"/>
    <s v="Boissons"/>
    <n v="4"/>
    <x v="7"/>
    <n v="2000"/>
    <x v="1"/>
    <x v="0"/>
  </r>
  <r>
    <s v="V0028"/>
    <x v="109"/>
    <x v="2"/>
    <x v="4"/>
    <x v="10"/>
    <s v="Alimentaire"/>
    <n v="5"/>
    <x v="10"/>
    <n v="2000"/>
    <x v="1"/>
    <x v="0"/>
  </r>
  <r>
    <s v="V0062"/>
    <x v="110"/>
    <x v="2"/>
    <x v="4"/>
    <x v="1"/>
    <s v="Boissons"/>
    <n v="2"/>
    <x v="1"/>
    <n v="2000"/>
    <x v="1"/>
    <x v="0"/>
  </r>
  <r>
    <s v="V0075"/>
    <x v="58"/>
    <x v="0"/>
    <x v="0"/>
    <x v="10"/>
    <s v="Alimentaire"/>
    <n v="5"/>
    <x v="10"/>
    <n v="2000"/>
    <x v="1"/>
    <x v="5"/>
  </r>
  <r>
    <s v="V0091"/>
    <x v="37"/>
    <x v="0"/>
    <x v="2"/>
    <x v="1"/>
    <s v="Boissons"/>
    <n v="2"/>
    <x v="1"/>
    <n v="2000"/>
    <x v="2"/>
    <x v="5"/>
  </r>
  <r>
    <s v="V0110"/>
    <x v="87"/>
    <x v="0"/>
    <x v="2"/>
    <x v="1"/>
    <s v="Boissons"/>
    <n v="2"/>
    <x v="1"/>
    <n v="2000"/>
    <x v="2"/>
    <x v="5"/>
  </r>
  <r>
    <s v="V0124"/>
    <x v="111"/>
    <x v="1"/>
    <x v="1"/>
    <x v="10"/>
    <s v="Alimentaire"/>
    <n v="5"/>
    <x v="10"/>
    <n v="2000"/>
    <x v="2"/>
    <x v="4"/>
  </r>
  <r>
    <s v="V0139"/>
    <x v="101"/>
    <x v="0"/>
    <x v="2"/>
    <x v="1"/>
    <s v="Boissons"/>
    <n v="2"/>
    <x v="1"/>
    <n v="2000"/>
    <x v="1"/>
    <x v="4"/>
  </r>
  <r>
    <s v="V0175"/>
    <x v="112"/>
    <x v="1"/>
    <x v="1"/>
    <x v="14"/>
    <s v="Boissons"/>
    <n v="5"/>
    <x v="10"/>
    <n v="2000"/>
    <x v="1"/>
    <x v="4"/>
  </r>
  <r>
    <s v="V0213"/>
    <x v="50"/>
    <x v="0"/>
    <x v="2"/>
    <x v="7"/>
    <s v="Boissons"/>
    <n v="4"/>
    <x v="7"/>
    <n v="2000"/>
    <x v="2"/>
    <x v="1"/>
  </r>
  <r>
    <s v="V0215"/>
    <x v="113"/>
    <x v="2"/>
    <x v="4"/>
    <x v="1"/>
    <s v="Boissons"/>
    <n v="2"/>
    <x v="1"/>
    <n v="2000"/>
    <x v="1"/>
    <x v="1"/>
  </r>
  <r>
    <s v="V0218"/>
    <x v="15"/>
    <x v="2"/>
    <x v="4"/>
    <x v="7"/>
    <s v="Boissons"/>
    <n v="4"/>
    <x v="7"/>
    <n v="2000"/>
    <x v="1"/>
    <x v="1"/>
  </r>
  <r>
    <s v="V0227"/>
    <x v="97"/>
    <x v="1"/>
    <x v="1"/>
    <x v="1"/>
    <s v="Boissons"/>
    <n v="2"/>
    <x v="1"/>
    <n v="2000"/>
    <x v="2"/>
    <x v="1"/>
  </r>
  <r>
    <s v="V0234"/>
    <x v="70"/>
    <x v="1"/>
    <x v="5"/>
    <x v="10"/>
    <s v="Alimentaire"/>
    <n v="5"/>
    <x v="10"/>
    <n v="2000"/>
    <x v="0"/>
    <x v="1"/>
  </r>
  <r>
    <s v="V0243"/>
    <x v="92"/>
    <x v="2"/>
    <x v="3"/>
    <x v="1"/>
    <s v="Boissons"/>
    <n v="2"/>
    <x v="1"/>
    <n v="2000"/>
    <x v="2"/>
    <x v="1"/>
  </r>
  <r>
    <s v="V0335"/>
    <x v="114"/>
    <x v="1"/>
    <x v="5"/>
    <x v="10"/>
    <s v="Alimentaire"/>
    <n v="5"/>
    <x v="10"/>
    <n v="2000"/>
    <x v="2"/>
    <x v="3"/>
  </r>
  <r>
    <s v="V0003"/>
    <x v="115"/>
    <x v="0"/>
    <x v="0"/>
    <x v="6"/>
    <s v="Épicerie"/>
    <n v="3"/>
    <x v="6"/>
    <n v="1800"/>
    <x v="1"/>
    <x v="0"/>
  </r>
  <r>
    <s v="V0005"/>
    <x v="73"/>
    <x v="1"/>
    <x v="1"/>
    <x v="8"/>
    <s v="Alimentaire"/>
    <n v="4"/>
    <x v="8"/>
    <n v="1800"/>
    <x v="2"/>
    <x v="0"/>
  </r>
  <r>
    <s v="V0140"/>
    <x v="101"/>
    <x v="2"/>
    <x v="3"/>
    <x v="6"/>
    <s v="Épicerie"/>
    <n v="3"/>
    <x v="6"/>
    <n v="1800"/>
    <x v="1"/>
    <x v="4"/>
  </r>
  <r>
    <s v="V0145"/>
    <x v="116"/>
    <x v="0"/>
    <x v="0"/>
    <x v="12"/>
    <s v="Hygiène"/>
    <n v="6"/>
    <x v="12"/>
    <n v="1800"/>
    <x v="1"/>
    <x v="4"/>
  </r>
  <r>
    <s v="V0168"/>
    <x v="11"/>
    <x v="1"/>
    <x v="5"/>
    <x v="6"/>
    <s v="Épicerie"/>
    <n v="3"/>
    <x v="6"/>
    <n v="1800"/>
    <x v="1"/>
    <x v="4"/>
  </r>
  <r>
    <s v="V0202"/>
    <x v="80"/>
    <x v="2"/>
    <x v="3"/>
    <x v="8"/>
    <s v="Alimentaire"/>
    <n v="4"/>
    <x v="8"/>
    <n v="1800"/>
    <x v="0"/>
    <x v="1"/>
  </r>
  <r>
    <s v="V0223"/>
    <x v="2"/>
    <x v="1"/>
    <x v="1"/>
    <x v="12"/>
    <s v="Hygiène"/>
    <n v="6"/>
    <x v="12"/>
    <n v="1800"/>
    <x v="2"/>
    <x v="1"/>
  </r>
  <r>
    <s v="V0276"/>
    <x v="82"/>
    <x v="2"/>
    <x v="4"/>
    <x v="6"/>
    <s v="Épicerie"/>
    <n v="3"/>
    <x v="6"/>
    <n v="1800"/>
    <x v="1"/>
    <x v="2"/>
  </r>
  <r>
    <s v="V0302"/>
    <x v="117"/>
    <x v="1"/>
    <x v="1"/>
    <x v="2"/>
    <s v="Hygiène"/>
    <n v="2"/>
    <x v="2"/>
    <n v="1800"/>
    <x v="2"/>
    <x v="2"/>
  </r>
  <r>
    <s v="V0318"/>
    <x v="118"/>
    <x v="0"/>
    <x v="2"/>
    <x v="2"/>
    <s v="Hygiène"/>
    <n v="2"/>
    <x v="2"/>
    <n v="1800"/>
    <x v="1"/>
    <x v="2"/>
  </r>
  <r>
    <s v="V0341"/>
    <x v="98"/>
    <x v="1"/>
    <x v="5"/>
    <x v="2"/>
    <s v="Hygiène"/>
    <n v="2"/>
    <x v="2"/>
    <n v="1800"/>
    <x v="0"/>
    <x v="3"/>
  </r>
  <r>
    <s v="V0348"/>
    <x v="108"/>
    <x v="1"/>
    <x v="5"/>
    <x v="2"/>
    <s v="Hygiène"/>
    <n v="2"/>
    <x v="2"/>
    <n v="1800"/>
    <x v="1"/>
    <x v="3"/>
  </r>
  <r>
    <s v="V0393"/>
    <x v="119"/>
    <x v="0"/>
    <x v="0"/>
    <x v="8"/>
    <s v="Alimentaire"/>
    <n v="4"/>
    <x v="8"/>
    <n v="1800"/>
    <x v="2"/>
    <x v="3"/>
  </r>
  <r>
    <s v="V0007"/>
    <x v="73"/>
    <x v="0"/>
    <x v="2"/>
    <x v="3"/>
    <s v="Alimentaire"/>
    <n v="2"/>
    <x v="3"/>
    <n v="1600"/>
    <x v="1"/>
    <x v="0"/>
  </r>
  <r>
    <s v="V0096"/>
    <x v="120"/>
    <x v="2"/>
    <x v="3"/>
    <x v="3"/>
    <s v="Alimentaire"/>
    <n v="2"/>
    <x v="3"/>
    <n v="1600"/>
    <x v="1"/>
    <x v="5"/>
  </r>
  <r>
    <s v="V0136"/>
    <x v="69"/>
    <x v="2"/>
    <x v="4"/>
    <x v="3"/>
    <s v="Alimentaire"/>
    <n v="2"/>
    <x v="3"/>
    <n v="1600"/>
    <x v="1"/>
    <x v="4"/>
  </r>
  <r>
    <s v="V0196"/>
    <x v="23"/>
    <x v="0"/>
    <x v="2"/>
    <x v="10"/>
    <s v="Alimentaire"/>
    <n v="4"/>
    <x v="10"/>
    <n v="1600"/>
    <x v="2"/>
    <x v="1"/>
  </r>
  <r>
    <s v="V0242"/>
    <x v="92"/>
    <x v="1"/>
    <x v="5"/>
    <x v="10"/>
    <s v="Alimentaire"/>
    <n v="4"/>
    <x v="10"/>
    <n v="1600"/>
    <x v="1"/>
    <x v="1"/>
  </r>
  <r>
    <s v="V0266"/>
    <x v="121"/>
    <x v="2"/>
    <x v="3"/>
    <x v="3"/>
    <s v="Alimentaire"/>
    <n v="2"/>
    <x v="3"/>
    <n v="1600"/>
    <x v="2"/>
    <x v="2"/>
  </r>
  <r>
    <s v="V0284"/>
    <x v="52"/>
    <x v="1"/>
    <x v="5"/>
    <x v="3"/>
    <s v="Alimentaire"/>
    <n v="2"/>
    <x v="3"/>
    <n v="1600"/>
    <x v="1"/>
    <x v="2"/>
  </r>
  <r>
    <s v="V0296"/>
    <x v="122"/>
    <x v="2"/>
    <x v="3"/>
    <x v="3"/>
    <s v="Alimentaire"/>
    <n v="2"/>
    <x v="3"/>
    <n v="1600"/>
    <x v="1"/>
    <x v="2"/>
  </r>
  <r>
    <s v="V0301"/>
    <x v="9"/>
    <x v="0"/>
    <x v="2"/>
    <x v="14"/>
    <s v="Boissons"/>
    <n v="4"/>
    <x v="10"/>
    <n v="1600"/>
    <x v="1"/>
    <x v="2"/>
  </r>
  <r>
    <s v="V0347"/>
    <x v="123"/>
    <x v="2"/>
    <x v="3"/>
    <x v="3"/>
    <s v="Alimentaire"/>
    <n v="2"/>
    <x v="3"/>
    <n v="1600"/>
    <x v="2"/>
    <x v="3"/>
  </r>
  <r>
    <s v="V0022"/>
    <x v="124"/>
    <x v="1"/>
    <x v="1"/>
    <x v="12"/>
    <s v="Hygiène"/>
    <n v="5"/>
    <x v="12"/>
    <n v="1500"/>
    <x v="2"/>
    <x v="0"/>
  </r>
  <r>
    <s v="V0054"/>
    <x v="75"/>
    <x v="0"/>
    <x v="2"/>
    <x v="9"/>
    <s v="Alimentaire"/>
    <n v="1"/>
    <x v="9"/>
    <n v="1500"/>
    <x v="1"/>
    <x v="0"/>
  </r>
  <r>
    <s v="V0067"/>
    <x v="36"/>
    <x v="2"/>
    <x v="3"/>
    <x v="9"/>
    <s v="Alimentaire"/>
    <n v="1"/>
    <x v="9"/>
    <n v="1500"/>
    <x v="1"/>
    <x v="5"/>
  </r>
  <r>
    <s v="V0083"/>
    <x v="85"/>
    <x v="1"/>
    <x v="1"/>
    <x v="9"/>
    <s v="Alimentaire"/>
    <n v="1"/>
    <x v="9"/>
    <n v="1500"/>
    <x v="0"/>
    <x v="5"/>
  </r>
  <r>
    <s v="V0086"/>
    <x v="86"/>
    <x v="2"/>
    <x v="3"/>
    <x v="9"/>
    <s v="Alimentaire"/>
    <n v="1"/>
    <x v="9"/>
    <n v="1500"/>
    <x v="2"/>
    <x v="5"/>
  </r>
  <r>
    <s v="V0102"/>
    <x v="96"/>
    <x v="1"/>
    <x v="1"/>
    <x v="9"/>
    <s v="Alimentaire"/>
    <n v="1"/>
    <x v="9"/>
    <n v="1500"/>
    <x v="2"/>
    <x v="5"/>
  </r>
  <r>
    <s v="V0143"/>
    <x v="116"/>
    <x v="2"/>
    <x v="3"/>
    <x v="9"/>
    <s v="Alimentaire"/>
    <n v="1"/>
    <x v="9"/>
    <n v="1500"/>
    <x v="1"/>
    <x v="4"/>
  </r>
  <r>
    <s v="V0148"/>
    <x v="125"/>
    <x v="2"/>
    <x v="3"/>
    <x v="9"/>
    <s v="Alimentaire"/>
    <n v="1"/>
    <x v="9"/>
    <n v="1500"/>
    <x v="2"/>
    <x v="4"/>
  </r>
  <r>
    <s v="V0184"/>
    <x v="6"/>
    <x v="2"/>
    <x v="4"/>
    <x v="9"/>
    <s v="Alimentaire"/>
    <n v="1"/>
    <x v="9"/>
    <n v="1500"/>
    <x v="1"/>
    <x v="1"/>
  </r>
  <r>
    <s v="V0217"/>
    <x v="15"/>
    <x v="1"/>
    <x v="5"/>
    <x v="9"/>
    <s v="Alimentaire"/>
    <n v="1"/>
    <x v="9"/>
    <n v="1500"/>
    <x v="1"/>
    <x v="1"/>
  </r>
  <r>
    <s v="V0220"/>
    <x v="126"/>
    <x v="2"/>
    <x v="4"/>
    <x v="9"/>
    <s v="Alimentaire"/>
    <n v="1"/>
    <x v="9"/>
    <n v="1500"/>
    <x v="0"/>
    <x v="1"/>
  </r>
  <r>
    <s v="V0226"/>
    <x v="97"/>
    <x v="2"/>
    <x v="3"/>
    <x v="9"/>
    <s v="Alimentaire"/>
    <n v="1"/>
    <x v="9"/>
    <n v="1500"/>
    <x v="0"/>
    <x v="1"/>
  </r>
  <r>
    <s v="V0289"/>
    <x v="127"/>
    <x v="1"/>
    <x v="1"/>
    <x v="9"/>
    <s v="Alimentaire"/>
    <n v="1"/>
    <x v="9"/>
    <n v="1500"/>
    <x v="1"/>
    <x v="2"/>
  </r>
  <r>
    <s v="V0290"/>
    <x v="127"/>
    <x v="2"/>
    <x v="3"/>
    <x v="9"/>
    <s v="Alimentaire"/>
    <n v="1"/>
    <x v="9"/>
    <n v="1500"/>
    <x v="1"/>
    <x v="2"/>
  </r>
  <r>
    <s v="V0327"/>
    <x v="33"/>
    <x v="0"/>
    <x v="0"/>
    <x v="9"/>
    <s v="Alimentaire"/>
    <n v="1"/>
    <x v="9"/>
    <n v="1500"/>
    <x v="0"/>
    <x v="3"/>
  </r>
  <r>
    <s v="V0328"/>
    <x v="72"/>
    <x v="2"/>
    <x v="4"/>
    <x v="13"/>
    <s v="Épicerie"/>
    <n v="6"/>
    <x v="13"/>
    <n v="1500"/>
    <x v="1"/>
    <x v="3"/>
  </r>
  <r>
    <s v="V0345"/>
    <x v="128"/>
    <x v="1"/>
    <x v="5"/>
    <x v="9"/>
    <s v="Alimentaire"/>
    <n v="1"/>
    <x v="9"/>
    <n v="1500"/>
    <x v="0"/>
    <x v="3"/>
  </r>
  <r>
    <s v="V0346"/>
    <x v="128"/>
    <x v="2"/>
    <x v="3"/>
    <x v="9"/>
    <s v="Alimentaire"/>
    <n v="1"/>
    <x v="9"/>
    <n v="1500"/>
    <x v="1"/>
    <x v="3"/>
  </r>
  <r>
    <s v="V0357"/>
    <x v="45"/>
    <x v="1"/>
    <x v="5"/>
    <x v="9"/>
    <s v="Alimentaire"/>
    <n v="1"/>
    <x v="9"/>
    <n v="1500"/>
    <x v="1"/>
    <x v="3"/>
  </r>
  <r>
    <s v="V0361"/>
    <x v="129"/>
    <x v="0"/>
    <x v="0"/>
    <x v="9"/>
    <s v="Alimentaire"/>
    <n v="1"/>
    <x v="9"/>
    <n v="1500"/>
    <x v="2"/>
    <x v="3"/>
  </r>
  <r>
    <s v="V0383"/>
    <x v="130"/>
    <x v="2"/>
    <x v="3"/>
    <x v="12"/>
    <s v="Hygiène"/>
    <n v="5"/>
    <x v="12"/>
    <n v="1500"/>
    <x v="1"/>
    <x v="3"/>
  </r>
  <r>
    <s v="V0387"/>
    <x v="131"/>
    <x v="1"/>
    <x v="1"/>
    <x v="7"/>
    <s v="Boissons"/>
    <n v="3"/>
    <x v="7"/>
    <n v="1500"/>
    <x v="1"/>
    <x v="3"/>
  </r>
  <r>
    <s v="V0390"/>
    <x v="131"/>
    <x v="2"/>
    <x v="4"/>
    <x v="12"/>
    <s v="Hygiène"/>
    <n v="5"/>
    <x v="12"/>
    <n v="1500"/>
    <x v="1"/>
    <x v="3"/>
  </r>
  <r>
    <s v="V0013"/>
    <x v="34"/>
    <x v="0"/>
    <x v="0"/>
    <x v="5"/>
    <s v="Hygiène"/>
    <n v="2"/>
    <x v="5"/>
    <n v="1400"/>
    <x v="2"/>
    <x v="0"/>
  </r>
  <r>
    <s v="V0035"/>
    <x v="132"/>
    <x v="0"/>
    <x v="2"/>
    <x v="5"/>
    <s v="Hygiène"/>
    <n v="2"/>
    <x v="5"/>
    <n v="1400"/>
    <x v="2"/>
    <x v="0"/>
  </r>
  <r>
    <s v="V0064"/>
    <x v="35"/>
    <x v="0"/>
    <x v="0"/>
    <x v="5"/>
    <s v="Hygiène"/>
    <n v="2"/>
    <x v="5"/>
    <n v="1400"/>
    <x v="2"/>
    <x v="5"/>
  </r>
  <r>
    <s v="V0105"/>
    <x v="39"/>
    <x v="1"/>
    <x v="5"/>
    <x v="5"/>
    <s v="Hygiène"/>
    <n v="2"/>
    <x v="5"/>
    <n v="1400"/>
    <x v="1"/>
    <x v="5"/>
  </r>
  <r>
    <s v="V0142"/>
    <x v="116"/>
    <x v="2"/>
    <x v="3"/>
    <x v="5"/>
    <s v="Hygiène"/>
    <n v="2"/>
    <x v="5"/>
    <n v="1400"/>
    <x v="1"/>
    <x v="4"/>
  </r>
  <r>
    <s v="V0163"/>
    <x v="40"/>
    <x v="0"/>
    <x v="2"/>
    <x v="5"/>
    <s v="Hygiène"/>
    <n v="2"/>
    <x v="5"/>
    <n v="1400"/>
    <x v="1"/>
    <x v="4"/>
  </r>
  <r>
    <s v="V0344"/>
    <x v="98"/>
    <x v="2"/>
    <x v="3"/>
    <x v="5"/>
    <s v="Hygiène"/>
    <n v="2"/>
    <x v="5"/>
    <n v="1400"/>
    <x v="1"/>
    <x v="3"/>
  </r>
  <r>
    <s v="V0396"/>
    <x v="27"/>
    <x v="0"/>
    <x v="0"/>
    <x v="5"/>
    <s v="Hygiène"/>
    <n v="2"/>
    <x v="5"/>
    <n v="1400"/>
    <x v="0"/>
    <x v="3"/>
  </r>
  <r>
    <s v="V0063"/>
    <x v="35"/>
    <x v="0"/>
    <x v="0"/>
    <x v="13"/>
    <s v="Épicerie"/>
    <n v="5"/>
    <x v="13"/>
    <n v="1250"/>
    <x v="2"/>
    <x v="5"/>
  </r>
  <r>
    <s v="V0251"/>
    <x v="24"/>
    <x v="2"/>
    <x v="4"/>
    <x v="13"/>
    <s v="Épicerie"/>
    <n v="5"/>
    <x v="13"/>
    <n v="1250"/>
    <x v="1"/>
    <x v="2"/>
  </r>
  <r>
    <s v="V0299"/>
    <x v="9"/>
    <x v="2"/>
    <x v="3"/>
    <x v="13"/>
    <s v="Épicerie"/>
    <n v="5"/>
    <x v="13"/>
    <n v="1250"/>
    <x v="2"/>
    <x v="2"/>
  </r>
  <r>
    <s v="V0355"/>
    <x v="45"/>
    <x v="1"/>
    <x v="1"/>
    <x v="13"/>
    <s v="Épicerie"/>
    <n v="5"/>
    <x v="13"/>
    <n v="1250"/>
    <x v="1"/>
    <x v="3"/>
  </r>
  <r>
    <s v="V0020"/>
    <x v="124"/>
    <x v="1"/>
    <x v="1"/>
    <x v="11"/>
    <s v="Épicerie"/>
    <n v="1"/>
    <x v="11"/>
    <n v="1200"/>
    <x v="1"/>
    <x v="0"/>
  </r>
  <r>
    <s v="V0034"/>
    <x v="0"/>
    <x v="2"/>
    <x v="4"/>
    <x v="14"/>
    <s v="Boissons"/>
    <n v="3"/>
    <x v="10"/>
    <n v="1200"/>
    <x v="1"/>
    <x v="0"/>
  </r>
  <r>
    <s v="V0051"/>
    <x v="75"/>
    <x v="2"/>
    <x v="4"/>
    <x v="6"/>
    <s v="Épicerie"/>
    <n v="2"/>
    <x v="6"/>
    <n v="1200"/>
    <x v="1"/>
    <x v="0"/>
  </r>
  <r>
    <s v="V0056"/>
    <x v="75"/>
    <x v="0"/>
    <x v="0"/>
    <x v="6"/>
    <s v="Épicerie"/>
    <n v="2"/>
    <x v="6"/>
    <n v="1200"/>
    <x v="2"/>
    <x v="0"/>
  </r>
  <r>
    <s v="V0097"/>
    <x v="133"/>
    <x v="0"/>
    <x v="2"/>
    <x v="6"/>
    <s v="Épicerie"/>
    <n v="2"/>
    <x v="6"/>
    <n v="1200"/>
    <x v="1"/>
    <x v="5"/>
  </r>
  <r>
    <s v="V0099"/>
    <x v="133"/>
    <x v="0"/>
    <x v="2"/>
    <x v="14"/>
    <s v="Boissons"/>
    <n v="3"/>
    <x v="10"/>
    <n v="1200"/>
    <x v="2"/>
    <x v="5"/>
  </r>
  <r>
    <s v="V0112"/>
    <x v="134"/>
    <x v="1"/>
    <x v="1"/>
    <x v="6"/>
    <s v="Épicerie"/>
    <n v="2"/>
    <x v="6"/>
    <n v="1200"/>
    <x v="1"/>
    <x v="5"/>
  </r>
  <r>
    <s v="V0116"/>
    <x v="68"/>
    <x v="1"/>
    <x v="1"/>
    <x v="10"/>
    <s v="Alimentaire"/>
    <n v="3"/>
    <x v="10"/>
    <n v="1200"/>
    <x v="1"/>
    <x v="5"/>
  </r>
  <r>
    <s v="V0123"/>
    <x v="77"/>
    <x v="0"/>
    <x v="2"/>
    <x v="11"/>
    <s v="Épicerie"/>
    <n v="1"/>
    <x v="11"/>
    <n v="1200"/>
    <x v="1"/>
    <x v="5"/>
  </r>
  <r>
    <s v="V0131"/>
    <x v="135"/>
    <x v="0"/>
    <x v="0"/>
    <x v="11"/>
    <s v="Épicerie"/>
    <n v="1"/>
    <x v="11"/>
    <n v="1200"/>
    <x v="1"/>
    <x v="4"/>
  </r>
  <r>
    <s v="V0135"/>
    <x v="69"/>
    <x v="1"/>
    <x v="5"/>
    <x v="12"/>
    <s v="Hygiène"/>
    <n v="4"/>
    <x v="12"/>
    <n v="1200"/>
    <x v="1"/>
    <x v="4"/>
  </r>
  <r>
    <s v="V0164"/>
    <x v="136"/>
    <x v="1"/>
    <x v="5"/>
    <x v="12"/>
    <s v="Hygiène"/>
    <n v="4"/>
    <x v="12"/>
    <n v="1200"/>
    <x v="1"/>
    <x v="4"/>
  </r>
  <r>
    <s v="V0167"/>
    <x v="11"/>
    <x v="0"/>
    <x v="0"/>
    <x v="11"/>
    <s v="Épicerie"/>
    <n v="1"/>
    <x v="11"/>
    <n v="1200"/>
    <x v="1"/>
    <x v="4"/>
  </r>
  <r>
    <s v="V0185"/>
    <x v="6"/>
    <x v="2"/>
    <x v="3"/>
    <x v="11"/>
    <s v="Épicerie"/>
    <n v="1"/>
    <x v="11"/>
    <n v="1200"/>
    <x v="1"/>
    <x v="1"/>
  </r>
  <r>
    <s v="V0204"/>
    <x v="80"/>
    <x v="0"/>
    <x v="0"/>
    <x v="6"/>
    <s v="Épicerie"/>
    <n v="2"/>
    <x v="6"/>
    <n v="1200"/>
    <x v="0"/>
    <x v="1"/>
  </r>
  <r>
    <s v="V0209"/>
    <x v="102"/>
    <x v="1"/>
    <x v="5"/>
    <x v="11"/>
    <s v="Épicerie"/>
    <n v="1"/>
    <x v="11"/>
    <n v="1200"/>
    <x v="1"/>
    <x v="1"/>
  </r>
  <r>
    <s v="V0240"/>
    <x v="137"/>
    <x v="0"/>
    <x v="2"/>
    <x v="11"/>
    <s v="Épicerie"/>
    <n v="1"/>
    <x v="11"/>
    <n v="1200"/>
    <x v="1"/>
    <x v="1"/>
  </r>
  <r>
    <s v="V0272"/>
    <x v="30"/>
    <x v="0"/>
    <x v="2"/>
    <x v="6"/>
    <s v="Épicerie"/>
    <n v="2"/>
    <x v="6"/>
    <n v="1200"/>
    <x v="1"/>
    <x v="2"/>
  </r>
  <r>
    <s v="V0291"/>
    <x v="127"/>
    <x v="2"/>
    <x v="3"/>
    <x v="6"/>
    <s v="Épicerie"/>
    <n v="2"/>
    <x v="6"/>
    <n v="1200"/>
    <x v="0"/>
    <x v="2"/>
  </r>
  <r>
    <s v="V0303"/>
    <x v="117"/>
    <x v="0"/>
    <x v="2"/>
    <x v="11"/>
    <s v="Épicerie"/>
    <n v="1"/>
    <x v="11"/>
    <n v="1200"/>
    <x v="1"/>
    <x v="2"/>
  </r>
  <r>
    <s v="V0313"/>
    <x v="43"/>
    <x v="2"/>
    <x v="3"/>
    <x v="11"/>
    <s v="Épicerie"/>
    <n v="1"/>
    <x v="11"/>
    <n v="1200"/>
    <x v="1"/>
    <x v="2"/>
  </r>
  <r>
    <s v="V0316"/>
    <x v="25"/>
    <x v="2"/>
    <x v="3"/>
    <x v="6"/>
    <s v="Épicerie"/>
    <n v="2"/>
    <x v="6"/>
    <n v="1200"/>
    <x v="1"/>
    <x v="2"/>
  </r>
  <r>
    <s v="V0324"/>
    <x v="138"/>
    <x v="1"/>
    <x v="1"/>
    <x v="11"/>
    <s v="Épicerie"/>
    <n v="1"/>
    <x v="11"/>
    <n v="1200"/>
    <x v="0"/>
    <x v="3"/>
  </r>
  <r>
    <s v="V0334"/>
    <x v="139"/>
    <x v="0"/>
    <x v="0"/>
    <x v="11"/>
    <s v="Épicerie"/>
    <n v="1"/>
    <x v="11"/>
    <n v="1200"/>
    <x v="2"/>
    <x v="3"/>
  </r>
  <r>
    <s v="V0354"/>
    <x v="45"/>
    <x v="1"/>
    <x v="1"/>
    <x v="11"/>
    <s v="Épicerie"/>
    <n v="1"/>
    <x v="11"/>
    <n v="1200"/>
    <x v="1"/>
    <x v="3"/>
  </r>
  <r>
    <s v="V0363"/>
    <x v="14"/>
    <x v="1"/>
    <x v="1"/>
    <x v="12"/>
    <s v="Hygiène"/>
    <n v="4"/>
    <x v="12"/>
    <n v="1200"/>
    <x v="0"/>
    <x v="3"/>
  </r>
  <r>
    <s v="V0388"/>
    <x v="131"/>
    <x v="1"/>
    <x v="5"/>
    <x v="11"/>
    <s v="Épicerie"/>
    <n v="1"/>
    <x v="11"/>
    <n v="1200"/>
    <x v="1"/>
    <x v="3"/>
  </r>
  <r>
    <s v="V0001"/>
    <x v="140"/>
    <x v="0"/>
    <x v="2"/>
    <x v="13"/>
    <s v="Épicerie"/>
    <n v="4"/>
    <x v="13"/>
    <n v="1000"/>
    <x v="0"/>
    <x v="0"/>
  </r>
  <r>
    <s v="V0014"/>
    <x v="34"/>
    <x v="0"/>
    <x v="0"/>
    <x v="1"/>
    <s v="Boissons"/>
    <n v="1"/>
    <x v="1"/>
    <n v="1000"/>
    <x v="0"/>
    <x v="0"/>
  </r>
  <r>
    <s v="V0018"/>
    <x v="19"/>
    <x v="1"/>
    <x v="1"/>
    <x v="1"/>
    <s v="Boissons"/>
    <n v="1"/>
    <x v="1"/>
    <n v="1000"/>
    <x v="1"/>
    <x v="0"/>
  </r>
  <r>
    <s v="V0047"/>
    <x v="107"/>
    <x v="2"/>
    <x v="4"/>
    <x v="1"/>
    <s v="Boissons"/>
    <n v="1"/>
    <x v="1"/>
    <n v="1000"/>
    <x v="2"/>
    <x v="0"/>
  </r>
  <r>
    <s v="V0053"/>
    <x v="75"/>
    <x v="2"/>
    <x v="4"/>
    <x v="1"/>
    <s v="Boissons"/>
    <n v="1"/>
    <x v="1"/>
    <n v="1000"/>
    <x v="2"/>
    <x v="0"/>
  </r>
  <r>
    <s v="V0055"/>
    <x v="75"/>
    <x v="0"/>
    <x v="0"/>
    <x v="1"/>
    <s v="Boissons"/>
    <n v="1"/>
    <x v="1"/>
    <n v="1000"/>
    <x v="1"/>
    <x v="0"/>
  </r>
  <r>
    <s v="V0072"/>
    <x v="76"/>
    <x v="1"/>
    <x v="1"/>
    <x v="13"/>
    <s v="Épicerie"/>
    <n v="4"/>
    <x v="13"/>
    <n v="1000"/>
    <x v="1"/>
    <x v="5"/>
  </r>
  <r>
    <s v="V0094"/>
    <x v="38"/>
    <x v="0"/>
    <x v="2"/>
    <x v="1"/>
    <s v="Boissons"/>
    <n v="1"/>
    <x v="1"/>
    <n v="1000"/>
    <x v="1"/>
    <x v="5"/>
  </r>
  <r>
    <s v="V0128"/>
    <x v="141"/>
    <x v="1"/>
    <x v="1"/>
    <x v="7"/>
    <s v="Boissons"/>
    <n v="2"/>
    <x v="7"/>
    <n v="1000"/>
    <x v="0"/>
    <x v="4"/>
  </r>
  <r>
    <s v="V0193"/>
    <x v="7"/>
    <x v="0"/>
    <x v="0"/>
    <x v="1"/>
    <s v="Boissons"/>
    <n v="1"/>
    <x v="1"/>
    <n v="1000"/>
    <x v="1"/>
    <x v="1"/>
  </r>
  <r>
    <s v="V0216"/>
    <x v="113"/>
    <x v="0"/>
    <x v="0"/>
    <x v="1"/>
    <s v="Boissons"/>
    <n v="1"/>
    <x v="1"/>
    <n v="1000"/>
    <x v="2"/>
    <x v="1"/>
  </r>
  <r>
    <s v="V0237"/>
    <x v="51"/>
    <x v="0"/>
    <x v="2"/>
    <x v="13"/>
    <s v="Épicerie"/>
    <n v="4"/>
    <x v="13"/>
    <n v="1000"/>
    <x v="1"/>
    <x v="1"/>
  </r>
  <r>
    <s v="V0261"/>
    <x v="16"/>
    <x v="2"/>
    <x v="3"/>
    <x v="7"/>
    <s v="Boissons"/>
    <n v="2"/>
    <x v="7"/>
    <n v="1000"/>
    <x v="1"/>
    <x v="2"/>
  </r>
  <r>
    <s v="V0319"/>
    <x v="118"/>
    <x v="0"/>
    <x v="0"/>
    <x v="7"/>
    <s v="Boissons"/>
    <n v="2"/>
    <x v="7"/>
    <n v="1000"/>
    <x v="2"/>
    <x v="2"/>
  </r>
  <r>
    <s v="V0333"/>
    <x v="139"/>
    <x v="1"/>
    <x v="1"/>
    <x v="1"/>
    <s v="Boissons"/>
    <n v="1"/>
    <x v="1"/>
    <n v="1000"/>
    <x v="1"/>
    <x v="3"/>
  </r>
  <r>
    <s v="V0356"/>
    <x v="45"/>
    <x v="0"/>
    <x v="0"/>
    <x v="7"/>
    <s v="Boissons"/>
    <n v="2"/>
    <x v="7"/>
    <n v="1000"/>
    <x v="1"/>
    <x v="3"/>
  </r>
  <r>
    <s v="V0386"/>
    <x v="32"/>
    <x v="0"/>
    <x v="2"/>
    <x v="1"/>
    <s v="Boissons"/>
    <n v="1"/>
    <x v="1"/>
    <n v="1000"/>
    <x v="2"/>
    <x v="3"/>
  </r>
  <r>
    <s v="V0027"/>
    <x v="142"/>
    <x v="0"/>
    <x v="0"/>
    <x v="2"/>
    <s v="Hygiène"/>
    <n v="1"/>
    <x v="2"/>
    <n v="900"/>
    <x v="2"/>
    <x v="0"/>
  </r>
  <r>
    <s v="V0031"/>
    <x v="0"/>
    <x v="2"/>
    <x v="3"/>
    <x v="8"/>
    <s v="Alimentaire"/>
    <n v="2"/>
    <x v="8"/>
    <n v="900"/>
    <x v="1"/>
    <x v="0"/>
  </r>
  <r>
    <s v="V0046"/>
    <x v="5"/>
    <x v="0"/>
    <x v="2"/>
    <x v="8"/>
    <s v="Alimentaire"/>
    <n v="2"/>
    <x v="8"/>
    <n v="900"/>
    <x v="1"/>
    <x v="0"/>
  </r>
  <r>
    <s v="V0061"/>
    <x v="110"/>
    <x v="2"/>
    <x v="4"/>
    <x v="8"/>
    <s v="Alimentaire"/>
    <n v="2"/>
    <x v="8"/>
    <n v="900"/>
    <x v="2"/>
    <x v="0"/>
  </r>
  <r>
    <s v="V0130"/>
    <x v="79"/>
    <x v="0"/>
    <x v="2"/>
    <x v="8"/>
    <s v="Alimentaire"/>
    <n v="2"/>
    <x v="8"/>
    <n v="900"/>
    <x v="2"/>
    <x v="4"/>
  </r>
  <r>
    <s v="V0149"/>
    <x v="143"/>
    <x v="1"/>
    <x v="1"/>
    <x v="8"/>
    <s v="Alimentaire"/>
    <n v="2"/>
    <x v="8"/>
    <n v="900"/>
    <x v="2"/>
    <x v="4"/>
  </r>
  <r>
    <s v="V0172"/>
    <x v="12"/>
    <x v="1"/>
    <x v="5"/>
    <x v="8"/>
    <s v="Alimentaire"/>
    <n v="2"/>
    <x v="8"/>
    <n v="900"/>
    <x v="1"/>
    <x v="4"/>
  </r>
  <r>
    <s v="V0199"/>
    <x v="23"/>
    <x v="0"/>
    <x v="2"/>
    <x v="2"/>
    <s v="Hygiène"/>
    <n v="1"/>
    <x v="2"/>
    <n v="900"/>
    <x v="1"/>
    <x v="1"/>
  </r>
  <r>
    <s v="V0241"/>
    <x v="137"/>
    <x v="2"/>
    <x v="3"/>
    <x v="2"/>
    <s v="Hygiène"/>
    <n v="1"/>
    <x v="2"/>
    <n v="900"/>
    <x v="1"/>
    <x v="1"/>
  </r>
  <r>
    <s v="V0250"/>
    <x v="24"/>
    <x v="0"/>
    <x v="0"/>
    <x v="8"/>
    <s v="Alimentaire"/>
    <n v="2"/>
    <x v="8"/>
    <n v="900"/>
    <x v="2"/>
    <x v="2"/>
  </r>
  <r>
    <s v="V0252"/>
    <x v="24"/>
    <x v="2"/>
    <x v="4"/>
    <x v="2"/>
    <s v="Hygiène"/>
    <n v="1"/>
    <x v="2"/>
    <n v="900"/>
    <x v="1"/>
    <x v="2"/>
  </r>
  <r>
    <s v="V0273"/>
    <x v="144"/>
    <x v="0"/>
    <x v="0"/>
    <x v="8"/>
    <s v="Alimentaire"/>
    <n v="2"/>
    <x v="8"/>
    <n v="900"/>
    <x v="1"/>
    <x v="2"/>
  </r>
  <r>
    <s v="V0283"/>
    <x v="52"/>
    <x v="2"/>
    <x v="4"/>
    <x v="12"/>
    <s v="Hygiène"/>
    <n v="3"/>
    <x v="12"/>
    <n v="900"/>
    <x v="1"/>
    <x v="2"/>
  </r>
  <r>
    <s v="V0359"/>
    <x v="129"/>
    <x v="1"/>
    <x v="5"/>
    <x v="8"/>
    <s v="Alimentaire"/>
    <n v="2"/>
    <x v="8"/>
    <n v="900"/>
    <x v="2"/>
    <x v="3"/>
  </r>
  <r>
    <s v="V0367"/>
    <x v="14"/>
    <x v="2"/>
    <x v="4"/>
    <x v="2"/>
    <s v="Hygiène"/>
    <n v="1"/>
    <x v="2"/>
    <n v="900"/>
    <x v="1"/>
    <x v="3"/>
  </r>
  <r>
    <s v="V0384"/>
    <x v="32"/>
    <x v="0"/>
    <x v="0"/>
    <x v="2"/>
    <s v="Hygiène"/>
    <n v="1"/>
    <x v="2"/>
    <n v="900"/>
    <x v="1"/>
    <x v="3"/>
  </r>
  <r>
    <s v="V0002"/>
    <x v="140"/>
    <x v="1"/>
    <x v="5"/>
    <x v="10"/>
    <s v="Alimentaire"/>
    <n v="2"/>
    <x v="10"/>
    <n v="800"/>
    <x v="2"/>
    <x v="0"/>
  </r>
  <r>
    <s v="V0029"/>
    <x v="109"/>
    <x v="2"/>
    <x v="4"/>
    <x v="3"/>
    <s v="Alimentaire"/>
    <n v="1"/>
    <x v="3"/>
    <n v="800"/>
    <x v="2"/>
    <x v="0"/>
  </r>
  <r>
    <s v="V0042"/>
    <x v="5"/>
    <x v="1"/>
    <x v="5"/>
    <x v="3"/>
    <s v="Alimentaire"/>
    <n v="1"/>
    <x v="3"/>
    <n v="800"/>
    <x v="2"/>
    <x v="0"/>
  </r>
  <r>
    <s v="V0144"/>
    <x v="116"/>
    <x v="1"/>
    <x v="5"/>
    <x v="14"/>
    <s v="Boissons"/>
    <n v="2"/>
    <x v="10"/>
    <n v="800"/>
    <x v="2"/>
    <x v="4"/>
  </r>
  <r>
    <s v="V0262"/>
    <x v="16"/>
    <x v="1"/>
    <x v="5"/>
    <x v="3"/>
    <s v="Alimentaire"/>
    <n v="1"/>
    <x v="3"/>
    <n v="800"/>
    <x v="1"/>
    <x v="2"/>
  </r>
  <r>
    <s v="V0263"/>
    <x v="145"/>
    <x v="1"/>
    <x v="5"/>
    <x v="3"/>
    <s v="Alimentaire"/>
    <n v="1"/>
    <x v="3"/>
    <n v="800"/>
    <x v="1"/>
    <x v="2"/>
  </r>
  <r>
    <s v="V0264"/>
    <x v="71"/>
    <x v="2"/>
    <x v="3"/>
    <x v="3"/>
    <s v="Alimentaire"/>
    <n v="1"/>
    <x v="3"/>
    <n v="800"/>
    <x v="1"/>
    <x v="2"/>
  </r>
  <r>
    <s v="V0268"/>
    <x v="146"/>
    <x v="0"/>
    <x v="0"/>
    <x v="10"/>
    <s v="Alimentaire"/>
    <n v="2"/>
    <x v="10"/>
    <n v="800"/>
    <x v="2"/>
    <x v="2"/>
  </r>
  <r>
    <s v="V0274"/>
    <x v="144"/>
    <x v="1"/>
    <x v="1"/>
    <x v="3"/>
    <s v="Alimentaire"/>
    <n v="1"/>
    <x v="3"/>
    <n v="800"/>
    <x v="1"/>
    <x v="2"/>
  </r>
  <r>
    <s v="V0288"/>
    <x v="127"/>
    <x v="1"/>
    <x v="1"/>
    <x v="10"/>
    <s v="Alimentaire"/>
    <n v="2"/>
    <x v="10"/>
    <n v="800"/>
    <x v="1"/>
    <x v="2"/>
  </r>
  <r>
    <s v="V0292"/>
    <x v="127"/>
    <x v="0"/>
    <x v="0"/>
    <x v="3"/>
    <s v="Alimentaire"/>
    <n v="1"/>
    <x v="3"/>
    <n v="800"/>
    <x v="1"/>
    <x v="2"/>
  </r>
  <r>
    <s v="V0336"/>
    <x v="114"/>
    <x v="1"/>
    <x v="1"/>
    <x v="3"/>
    <s v="Alimentaire"/>
    <n v="1"/>
    <x v="3"/>
    <n v="800"/>
    <x v="1"/>
    <x v="3"/>
  </r>
  <r>
    <s v="V0360"/>
    <x v="129"/>
    <x v="0"/>
    <x v="0"/>
    <x v="3"/>
    <s v="Alimentaire"/>
    <n v="1"/>
    <x v="3"/>
    <n v="800"/>
    <x v="1"/>
    <x v="3"/>
  </r>
  <r>
    <s v="V0380"/>
    <x v="66"/>
    <x v="2"/>
    <x v="3"/>
    <x v="14"/>
    <s v="Boissons"/>
    <n v="2"/>
    <x v="10"/>
    <n v="800"/>
    <x v="1"/>
    <x v="3"/>
  </r>
  <r>
    <s v="V0382"/>
    <x v="130"/>
    <x v="1"/>
    <x v="5"/>
    <x v="3"/>
    <s v="Alimentaire"/>
    <n v="1"/>
    <x v="3"/>
    <n v="800"/>
    <x v="2"/>
    <x v="3"/>
  </r>
  <r>
    <s v="V0024"/>
    <x v="93"/>
    <x v="1"/>
    <x v="5"/>
    <x v="13"/>
    <s v="Épicerie"/>
    <n v="3"/>
    <x v="13"/>
    <n v="750"/>
    <x v="1"/>
    <x v="0"/>
  </r>
  <r>
    <s v="V0059"/>
    <x v="57"/>
    <x v="2"/>
    <x v="3"/>
    <x v="13"/>
    <s v="Épicerie"/>
    <n v="3"/>
    <x v="13"/>
    <n v="750"/>
    <x v="1"/>
    <x v="0"/>
  </r>
  <r>
    <s v="V0177"/>
    <x v="147"/>
    <x v="0"/>
    <x v="0"/>
    <x v="13"/>
    <s v="Épicerie"/>
    <n v="3"/>
    <x v="13"/>
    <n v="750"/>
    <x v="1"/>
    <x v="4"/>
  </r>
  <r>
    <s v="V0323"/>
    <x v="138"/>
    <x v="1"/>
    <x v="5"/>
    <x v="13"/>
    <s v="Épicerie"/>
    <n v="3"/>
    <x v="13"/>
    <n v="750"/>
    <x v="1"/>
    <x v="3"/>
  </r>
  <r>
    <s v="V0397"/>
    <x v="27"/>
    <x v="2"/>
    <x v="4"/>
    <x v="13"/>
    <s v="Épicerie"/>
    <n v="3"/>
    <x v="13"/>
    <n v="750"/>
    <x v="1"/>
    <x v="3"/>
  </r>
  <r>
    <s v="V0021"/>
    <x v="124"/>
    <x v="0"/>
    <x v="0"/>
    <x v="5"/>
    <s v="Hygiène"/>
    <n v="1"/>
    <x v="5"/>
    <n v="700"/>
    <x v="2"/>
    <x v="0"/>
  </r>
  <r>
    <s v="V0137"/>
    <x v="69"/>
    <x v="0"/>
    <x v="2"/>
    <x v="5"/>
    <s v="Hygiène"/>
    <n v="1"/>
    <x v="5"/>
    <n v="700"/>
    <x v="0"/>
    <x v="4"/>
  </r>
  <r>
    <s v="V0150"/>
    <x v="143"/>
    <x v="0"/>
    <x v="2"/>
    <x v="5"/>
    <s v="Hygiène"/>
    <n v="1"/>
    <x v="5"/>
    <n v="700"/>
    <x v="0"/>
    <x v="4"/>
  </r>
  <r>
    <s v="V0211"/>
    <x v="50"/>
    <x v="0"/>
    <x v="0"/>
    <x v="5"/>
    <s v="Hygiène"/>
    <n v="1"/>
    <x v="5"/>
    <n v="700"/>
    <x v="1"/>
    <x v="1"/>
  </r>
  <r>
    <s v="V0256"/>
    <x v="148"/>
    <x v="0"/>
    <x v="2"/>
    <x v="5"/>
    <s v="Hygiène"/>
    <n v="1"/>
    <x v="5"/>
    <n v="700"/>
    <x v="1"/>
    <x v="2"/>
  </r>
  <r>
    <s v="V0297"/>
    <x v="122"/>
    <x v="1"/>
    <x v="1"/>
    <x v="5"/>
    <s v="Hygiène"/>
    <n v="1"/>
    <x v="5"/>
    <n v="700"/>
    <x v="1"/>
    <x v="2"/>
  </r>
  <r>
    <s v="V0300"/>
    <x v="9"/>
    <x v="0"/>
    <x v="0"/>
    <x v="5"/>
    <s v="Hygiène"/>
    <n v="1"/>
    <x v="5"/>
    <n v="700"/>
    <x v="2"/>
    <x v="2"/>
  </r>
  <r>
    <s v="V0307"/>
    <x v="149"/>
    <x v="0"/>
    <x v="0"/>
    <x v="5"/>
    <s v="Hygiène"/>
    <n v="1"/>
    <x v="5"/>
    <n v="700"/>
    <x v="1"/>
    <x v="2"/>
  </r>
  <r>
    <s v="V0373"/>
    <x v="65"/>
    <x v="0"/>
    <x v="2"/>
    <x v="5"/>
    <s v="Hygiène"/>
    <n v="1"/>
    <x v="5"/>
    <n v="700"/>
    <x v="2"/>
    <x v="3"/>
  </r>
  <r>
    <s v="V0379"/>
    <x v="66"/>
    <x v="2"/>
    <x v="4"/>
    <x v="5"/>
    <s v="Hygiène"/>
    <n v="1"/>
    <x v="5"/>
    <n v="700"/>
    <x v="0"/>
    <x v="3"/>
  </r>
  <r>
    <s v="V0008"/>
    <x v="150"/>
    <x v="2"/>
    <x v="4"/>
    <x v="12"/>
    <s v="Hygiène"/>
    <n v="2"/>
    <x v="12"/>
    <n v="600"/>
    <x v="1"/>
    <x v="0"/>
  </r>
  <r>
    <s v="V0100"/>
    <x v="133"/>
    <x v="0"/>
    <x v="0"/>
    <x v="6"/>
    <s v="Épicerie"/>
    <n v="1"/>
    <x v="6"/>
    <n v="600"/>
    <x v="0"/>
    <x v="5"/>
  </r>
  <r>
    <s v="V0121"/>
    <x v="21"/>
    <x v="0"/>
    <x v="2"/>
    <x v="6"/>
    <s v="Épicerie"/>
    <n v="1"/>
    <x v="6"/>
    <n v="600"/>
    <x v="1"/>
    <x v="5"/>
  </r>
  <r>
    <s v="V0134"/>
    <x v="69"/>
    <x v="1"/>
    <x v="1"/>
    <x v="6"/>
    <s v="Épicerie"/>
    <n v="1"/>
    <x v="6"/>
    <n v="600"/>
    <x v="0"/>
    <x v="4"/>
  </r>
  <r>
    <s v="V0153"/>
    <x v="91"/>
    <x v="0"/>
    <x v="2"/>
    <x v="6"/>
    <s v="Épicerie"/>
    <n v="1"/>
    <x v="6"/>
    <n v="600"/>
    <x v="1"/>
    <x v="4"/>
  </r>
  <r>
    <s v="V0195"/>
    <x v="7"/>
    <x v="2"/>
    <x v="3"/>
    <x v="12"/>
    <s v="Hygiène"/>
    <n v="2"/>
    <x v="12"/>
    <n v="600"/>
    <x v="0"/>
    <x v="1"/>
  </r>
  <r>
    <s v="V0221"/>
    <x v="126"/>
    <x v="2"/>
    <x v="4"/>
    <x v="12"/>
    <s v="Hygiène"/>
    <n v="2"/>
    <x v="12"/>
    <n v="600"/>
    <x v="1"/>
    <x v="1"/>
  </r>
  <r>
    <s v="V0267"/>
    <x v="146"/>
    <x v="0"/>
    <x v="2"/>
    <x v="6"/>
    <s v="Épicerie"/>
    <n v="1"/>
    <x v="6"/>
    <n v="600"/>
    <x v="2"/>
    <x v="2"/>
  </r>
  <r>
    <s v="V0306"/>
    <x v="53"/>
    <x v="2"/>
    <x v="4"/>
    <x v="6"/>
    <s v="Épicerie"/>
    <n v="1"/>
    <x v="6"/>
    <n v="600"/>
    <x v="1"/>
    <x v="2"/>
  </r>
  <r>
    <s v="V0340"/>
    <x v="98"/>
    <x v="2"/>
    <x v="3"/>
    <x v="12"/>
    <s v="Hygiène"/>
    <n v="2"/>
    <x v="12"/>
    <n v="600"/>
    <x v="2"/>
    <x v="3"/>
  </r>
  <r>
    <s v="V0353"/>
    <x v="54"/>
    <x v="2"/>
    <x v="3"/>
    <x v="6"/>
    <s v="Épicerie"/>
    <n v="1"/>
    <x v="6"/>
    <n v="600"/>
    <x v="0"/>
    <x v="3"/>
  </r>
  <r>
    <s v="V0362"/>
    <x v="14"/>
    <x v="2"/>
    <x v="4"/>
    <x v="6"/>
    <s v="Épicerie"/>
    <n v="1"/>
    <x v="6"/>
    <n v="600"/>
    <x v="2"/>
    <x v="3"/>
  </r>
  <r>
    <s v="V0378"/>
    <x v="18"/>
    <x v="1"/>
    <x v="1"/>
    <x v="12"/>
    <s v="Hygiène"/>
    <n v="2"/>
    <x v="12"/>
    <n v="600"/>
    <x v="2"/>
    <x v="3"/>
  </r>
  <r>
    <s v="V0016"/>
    <x v="19"/>
    <x v="2"/>
    <x v="4"/>
    <x v="13"/>
    <s v="Épicerie"/>
    <n v="2"/>
    <x v="13"/>
    <n v="500"/>
    <x v="0"/>
    <x v="0"/>
  </r>
  <r>
    <s v="V0071"/>
    <x v="106"/>
    <x v="1"/>
    <x v="1"/>
    <x v="13"/>
    <s v="Épicerie"/>
    <n v="2"/>
    <x v="13"/>
    <n v="500"/>
    <x v="1"/>
    <x v="5"/>
  </r>
  <r>
    <s v="V0161"/>
    <x v="40"/>
    <x v="1"/>
    <x v="1"/>
    <x v="7"/>
    <s v="Boissons"/>
    <n v="1"/>
    <x v="7"/>
    <n v="500"/>
    <x v="2"/>
    <x v="4"/>
  </r>
  <r>
    <s v="V0171"/>
    <x v="12"/>
    <x v="1"/>
    <x v="5"/>
    <x v="7"/>
    <s v="Boissons"/>
    <n v="1"/>
    <x v="7"/>
    <n v="500"/>
    <x v="1"/>
    <x v="4"/>
  </r>
  <r>
    <s v="V0207"/>
    <x v="13"/>
    <x v="0"/>
    <x v="0"/>
    <x v="7"/>
    <s v="Boissons"/>
    <n v="1"/>
    <x v="7"/>
    <n v="500"/>
    <x v="1"/>
    <x v="1"/>
  </r>
  <r>
    <s v="V0238"/>
    <x v="51"/>
    <x v="1"/>
    <x v="5"/>
    <x v="7"/>
    <s v="Boissons"/>
    <n v="1"/>
    <x v="7"/>
    <n v="500"/>
    <x v="1"/>
    <x v="1"/>
  </r>
  <r>
    <s v="V0255"/>
    <x v="62"/>
    <x v="0"/>
    <x v="2"/>
    <x v="13"/>
    <s v="Épicerie"/>
    <n v="2"/>
    <x v="13"/>
    <n v="500"/>
    <x v="2"/>
    <x v="2"/>
  </r>
  <r>
    <s v="V0271"/>
    <x v="30"/>
    <x v="1"/>
    <x v="1"/>
    <x v="7"/>
    <s v="Boissons"/>
    <n v="1"/>
    <x v="7"/>
    <n v="500"/>
    <x v="1"/>
    <x v="2"/>
  </r>
  <r>
    <s v="V0309"/>
    <x v="63"/>
    <x v="2"/>
    <x v="4"/>
    <x v="13"/>
    <s v="Épicerie"/>
    <n v="2"/>
    <x v="13"/>
    <n v="500"/>
    <x v="1"/>
    <x v="2"/>
  </r>
  <r>
    <s v="V0332"/>
    <x v="60"/>
    <x v="2"/>
    <x v="4"/>
    <x v="13"/>
    <s v="Épicerie"/>
    <n v="2"/>
    <x v="13"/>
    <n v="500"/>
    <x v="2"/>
    <x v="3"/>
  </r>
  <r>
    <s v="V0342"/>
    <x v="98"/>
    <x v="2"/>
    <x v="4"/>
    <x v="7"/>
    <s v="Boissons"/>
    <n v="1"/>
    <x v="7"/>
    <n v="500"/>
    <x v="1"/>
    <x v="3"/>
  </r>
  <r>
    <s v="V0389"/>
    <x v="131"/>
    <x v="0"/>
    <x v="0"/>
    <x v="7"/>
    <s v="Boissons"/>
    <n v="1"/>
    <x v="7"/>
    <n v="500"/>
    <x v="1"/>
    <x v="3"/>
  </r>
  <r>
    <s v="V0057"/>
    <x v="56"/>
    <x v="0"/>
    <x v="2"/>
    <x v="8"/>
    <s v="Alimentaire"/>
    <n v="1"/>
    <x v="8"/>
    <n v="450"/>
    <x v="1"/>
    <x v="0"/>
  </r>
  <r>
    <s v="V0078"/>
    <x v="58"/>
    <x v="1"/>
    <x v="5"/>
    <x v="8"/>
    <s v="Alimentaire"/>
    <n v="1"/>
    <x v="8"/>
    <n v="450"/>
    <x v="2"/>
    <x v="5"/>
  </r>
  <r>
    <s v="V0311"/>
    <x v="63"/>
    <x v="2"/>
    <x v="3"/>
    <x v="8"/>
    <s v="Alimentaire"/>
    <n v="1"/>
    <x v="8"/>
    <n v="450"/>
    <x v="1"/>
    <x v="2"/>
  </r>
  <r>
    <s v="V0314"/>
    <x v="25"/>
    <x v="0"/>
    <x v="2"/>
    <x v="8"/>
    <s v="Alimentaire"/>
    <n v="1"/>
    <x v="8"/>
    <n v="450"/>
    <x v="1"/>
    <x v="2"/>
  </r>
  <r>
    <s v="V0023"/>
    <x v="124"/>
    <x v="1"/>
    <x v="1"/>
    <x v="14"/>
    <s v="Boissons"/>
    <n v="1"/>
    <x v="10"/>
    <n v="400"/>
    <x v="0"/>
    <x v="0"/>
  </r>
  <r>
    <s v="V0041"/>
    <x v="95"/>
    <x v="2"/>
    <x v="4"/>
    <x v="14"/>
    <s v="Boissons"/>
    <n v="1"/>
    <x v="10"/>
    <n v="400"/>
    <x v="0"/>
    <x v="0"/>
  </r>
  <r>
    <s v="V0104"/>
    <x v="96"/>
    <x v="1"/>
    <x v="1"/>
    <x v="14"/>
    <s v="Boissons"/>
    <n v="1"/>
    <x v="10"/>
    <n v="400"/>
    <x v="2"/>
    <x v="5"/>
  </r>
  <r>
    <s v="V0133"/>
    <x v="69"/>
    <x v="2"/>
    <x v="4"/>
    <x v="14"/>
    <s v="Boissons"/>
    <n v="1"/>
    <x v="10"/>
    <n v="400"/>
    <x v="0"/>
    <x v="4"/>
  </r>
  <r>
    <s v="V0151"/>
    <x v="151"/>
    <x v="1"/>
    <x v="1"/>
    <x v="10"/>
    <s v="Alimentaire"/>
    <n v="1"/>
    <x v="10"/>
    <n v="400"/>
    <x v="1"/>
    <x v="4"/>
  </r>
  <r>
    <s v="V0166"/>
    <x v="11"/>
    <x v="0"/>
    <x v="0"/>
    <x v="10"/>
    <s v="Alimentaire"/>
    <n v="1"/>
    <x v="10"/>
    <n v="400"/>
    <x v="2"/>
    <x v="4"/>
  </r>
  <r>
    <s v="V0179"/>
    <x v="152"/>
    <x v="2"/>
    <x v="3"/>
    <x v="10"/>
    <s v="Alimentaire"/>
    <n v="1"/>
    <x v="10"/>
    <n v="400"/>
    <x v="1"/>
    <x v="1"/>
  </r>
  <r>
    <s v="V0180"/>
    <x v="153"/>
    <x v="1"/>
    <x v="1"/>
    <x v="10"/>
    <s v="Alimentaire"/>
    <n v="1"/>
    <x v="10"/>
    <n v="400"/>
    <x v="2"/>
    <x v="1"/>
  </r>
  <r>
    <s v="V0203"/>
    <x v="80"/>
    <x v="0"/>
    <x v="0"/>
    <x v="10"/>
    <s v="Alimentaire"/>
    <n v="1"/>
    <x v="10"/>
    <n v="400"/>
    <x v="1"/>
    <x v="1"/>
  </r>
  <r>
    <s v="V0245"/>
    <x v="90"/>
    <x v="2"/>
    <x v="3"/>
    <x v="14"/>
    <s v="Boissons"/>
    <n v="1"/>
    <x v="10"/>
    <n v="400"/>
    <x v="2"/>
    <x v="1"/>
  </r>
  <r>
    <s v="V0294"/>
    <x v="31"/>
    <x v="1"/>
    <x v="5"/>
    <x v="10"/>
    <s v="Alimentaire"/>
    <n v="1"/>
    <x v="10"/>
    <n v="400"/>
    <x v="2"/>
    <x v="2"/>
  </r>
  <r>
    <s v="V0321"/>
    <x v="104"/>
    <x v="1"/>
    <x v="1"/>
    <x v="14"/>
    <s v="Boissons"/>
    <n v="1"/>
    <x v="10"/>
    <n v="400"/>
    <x v="1"/>
    <x v="3"/>
  </r>
  <r>
    <s v="V0322"/>
    <x v="138"/>
    <x v="2"/>
    <x v="3"/>
    <x v="14"/>
    <s v="Boissons"/>
    <n v="1"/>
    <x v="10"/>
    <n v="400"/>
    <x v="1"/>
    <x v="3"/>
  </r>
  <r>
    <s v="V0350"/>
    <x v="108"/>
    <x v="0"/>
    <x v="2"/>
    <x v="14"/>
    <s v="Boissons"/>
    <n v="1"/>
    <x v="10"/>
    <n v="400"/>
    <x v="0"/>
    <x v="3"/>
  </r>
  <r>
    <s v="V0351"/>
    <x v="54"/>
    <x v="0"/>
    <x v="0"/>
    <x v="10"/>
    <s v="Alimentaire"/>
    <n v="1"/>
    <x v="10"/>
    <n v="400"/>
    <x v="1"/>
    <x v="3"/>
  </r>
  <r>
    <s v="V0370"/>
    <x v="8"/>
    <x v="1"/>
    <x v="5"/>
    <x v="10"/>
    <s v="Alimentaire"/>
    <n v="1"/>
    <x v="10"/>
    <n v="400"/>
    <x v="0"/>
    <x v="3"/>
  </r>
  <r>
    <s v="V0113"/>
    <x v="154"/>
    <x v="2"/>
    <x v="3"/>
    <x v="12"/>
    <s v="Hygiène"/>
    <n v="1"/>
    <x v="12"/>
    <n v="300"/>
    <x v="1"/>
    <x v="5"/>
  </r>
  <r>
    <s v="V0178"/>
    <x v="152"/>
    <x v="2"/>
    <x v="3"/>
    <x v="12"/>
    <s v="Hygiène"/>
    <n v="1"/>
    <x v="12"/>
    <n v="300"/>
    <x v="0"/>
    <x v="1"/>
  </r>
  <r>
    <s v="V0260"/>
    <x v="16"/>
    <x v="2"/>
    <x v="4"/>
    <x v="12"/>
    <s v="Hygiène"/>
    <n v="1"/>
    <x v="12"/>
    <n v="300"/>
    <x v="1"/>
    <x v="2"/>
  </r>
  <r>
    <s v="V0305"/>
    <x v="53"/>
    <x v="1"/>
    <x v="5"/>
    <x v="12"/>
    <s v="Hygiène"/>
    <n v="1"/>
    <x v="12"/>
    <n v="300"/>
    <x v="1"/>
    <x v="2"/>
  </r>
  <r>
    <s v="V0394"/>
    <x v="119"/>
    <x v="2"/>
    <x v="3"/>
    <x v="12"/>
    <s v="Hygiène"/>
    <n v="1"/>
    <x v="12"/>
    <n v="300"/>
    <x v="0"/>
    <x v="3"/>
  </r>
  <r>
    <s v="V0395"/>
    <x v="27"/>
    <x v="2"/>
    <x v="4"/>
    <x v="12"/>
    <s v="Hygiène"/>
    <n v="1"/>
    <x v="12"/>
    <n v="300"/>
    <x v="1"/>
    <x v="3"/>
  </r>
  <r>
    <s v="V0010"/>
    <x v="10"/>
    <x v="1"/>
    <x v="1"/>
    <x v="13"/>
    <s v="Épicerie"/>
    <n v="1"/>
    <x v="13"/>
    <n v="250"/>
    <x v="1"/>
    <x v="0"/>
  </r>
  <r>
    <s v="V0093"/>
    <x v="38"/>
    <x v="2"/>
    <x v="4"/>
    <x v="13"/>
    <s v="Épicerie"/>
    <n v="1"/>
    <x v="13"/>
    <n v="250"/>
    <x v="0"/>
    <x v="5"/>
  </r>
  <r>
    <s v="V0098"/>
    <x v="133"/>
    <x v="2"/>
    <x v="4"/>
    <x v="13"/>
    <s v="Épicerie"/>
    <n v="1"/>
    <x v="13"/>
    <n v="250"/>
    <x v="1"/>
    <x v="5"/>
  </r>
  <r>
    <s v="V0115"/>
    <x v="68"/>
    <x v="2"/>
    <x v="3"/>
    <x v="13"/>
    <s v="Épicerie"/>
    <n v="1"/>
    <x v="13"/>
    <n v="250"/>
    <x v="2"/>
    <x v="5"/>
  </r>
  <r>
    <s v="V0118"/>
    <x v="155"/>
    <x v="1"/>
    <x v="1"/>
    <x v="13"/>
    <s v="Épicerie"/>
    <n v="1"/>
    <x v="13"/>
    <n v="250"/>
    <x v="2"/>
    <x v="5"/>
  </r>
  <r>
    <s v="V0173"/>
    <x v="12"/>
    <x v="2"/>
    <x v="3"/>
    <x v="13"/>
    <s v="Épicerie"/>
    <n v="1"/>
    <x v="13"/>
    <n v="250"/>
    <x v="1"/>
    <x v="4"/>
  </r>
  <r>
    <s v="V0176"/>
    <x v="147"/>
    <x v="2"/>
    <x v="3"/>
    <x v="13"/>
    <s v="Épicerie"/>
    <n v="1"/>
    <x v="13"/>
    <n v="250"/>
    <x v="2"/>
    <x v="4"/>
  </r>
  <r>
    <s v="V0232"/>
    <x v="70"/>
    <x v="2"/>
    <x v="3"/>
    <x v="13"/>
    <s v="Épicerie"/>
    <n v="1"/>
    <x v="13"/>
    <n v="250"/>
    <x v="2"/>
    <x v="1"/>
  </r>
  <r>
    <s v="V0248"/>
    <x v="90"/>
    <x v="0"/>
    <x v="0"/>
    <x v="13"/>
    <s v="Épicerie"/>
    <n v="1"/>
    <x v="13"/>
    <n v="250"/>
    <x v="1"/>
    <x v="1"/>
  </r>
  <r>
    <s v="V0258"/>
    <x v="103"/>
    <x v="0"/>
    <x v="2"/>
    <x v="13"/>
    <s v="Épicerie"/>
    <n v="1"/>
    <x v="13"/>
    <n v="25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57418-1FB1-41E7-B179-1F6D414410D0}" name="Tableau croisé dynamique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4:Z9" firstHeaderRow="1" firstDataRow="2" firstDataCol="1"/>
  <pivotFields count="12">
    <pivotField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numFmtId="3" showAll="0"/>
    <pivotField dataField="1" numFmtId="3" showAll="0">
      <items count="42"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e de Montant_Total_FCFA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4FDA3-2042-47E9-9C1D-1C464E956AFF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0:L21" firstHeaderRow="0" firstDataRow="1" firstDataCol="0"/>
  <pivotFields count="12">
    <pivotField dataField="1" showAll="0"/>
    <pivotField numFmtId="14" showAll="0"/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Montant_Total_FCFA" fld="8" baseField="0" baseItem="0" numFmtId="3"/>
    <dataField name="Nombre de ID_Ve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1BB38-F8FD-4733-8F73-7099810598B9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1:G8" firstHeaderRow="1" firstDataRow="1" firstDataCol="1"/>
  <pivotFields count="13">
    <pivotField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/>
    <pivotField axis="axisRow" showAll="0" sortType="descending">
      <items count="7">
        <item x="2"/>
        <item x="1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/>
    <pivotField showAll="0"/>
    <pivotField numFmtId="3" showAll="0"/>
    <pivotField dataField="1" numFmtId="3" showAll="0"/>
    <pivotField showAll="0"/>
    <pivotField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omme de Montant_Total_FCFA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023BD-CD48-438E-A7B0-20D5ACF8CEA2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13">
    <pivotField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/>
    <pivotField showAll="0"/>
    <pivotField numFmtId="3" showAll="0"/>
    <pivotField dataField="1" numFmtId="3" showAll="0"/>
    <pivotField showAll="0"/>
    <pivotField axis="axisRow"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Montant_Total_FCFA" fld="8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41EC4-9E75-415C-9BC6-2EEE3475C806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D19:F36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3A344-C899-4773-B39E-B017F3483207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E10:F14" firstHeaderRow="1" firstDataRow="1" firstDataCol="1"/>
  <pivotFields count="13">
    <pivotField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  <pivotField axis="axisRow" showAll="0">
      <items count="4">
        <item x="1"/>
        <item x="0"/>
        <item x="2"/>
        <item t="default"/>
      </items>
    </pivotField>
    <pivotField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_Total_FCFA" fld="8" showDataAs="percentOfTotal" baseField="0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E905B-483B-4903-A783-262E59E7072B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13:B19" firstHeaderRow="1" firstDataRow="1" firstDataCol="1"/>
  <pivotFields count="13">
    <pivotField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 measureFilter="1" sortType="descending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>
      <items count="15">
        <item x="13"/>
        <item x="12"/>
        <item x="10"/>
        <item x="8"/>
        <item x="7"/>
        <item x="6"/>
        <item x="5"/>
        <item x="3"/>
        <item x="2"/>
        <item x="1"/>
        <item x="11"/>
        <item x="9"/>
        <item x="4"/>
        <item x="0"/>
        <item t="default"/>
      </items>
    </pivotField>
    <pivotField dataField="1" numFmtId="3" showAll="0"/>
    <pivotField showAll="0"/>
    <pivotField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11"/>
    </i>
    <i>
      <x v="6"/>
    </i>
    <i>
      <x v="7"/>
    </i>
    <i>
      <x v="13"/>
    </i>
    <i>
      <x v="3"/>
    </i>
    <i t="grand">
      <x/>
    </i>
  </rowItems>
  <colItems count="1">
    <i/>
  </colItems>
  <dataFields count="1">
    <dataField name="Somme de Montant_Total_FCFA" fld="8" baseField="0" baseItem="0" numFmtId="3"/>
  </dataFields>
  <chartFormats count="1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7127E-E179-4ED9-AD28-45EE5E5E76D6}" name="Tableau croisé dynamique8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1:B5" firstHeaderRow="1" firstDataRow="1" firstDataCol="1"/>
  <pivotFields count="13">
    <pivotField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/>
    <pivotField showAll="0"/>
    <pivotField numFmtId="3" showAll="0"/>
    <pivotField dataField="1" numFmtId="3"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_Total_FCFA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76E73-1FEE-41A9-9F57-8F10CA8E894A}" name="Tableau croisé dynamique10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F4:G11" firstHeaderRow="1" firstDataRow="1" firstDataCol="1"/>
  <pivotFields count="13">
    <pivotField showAll="0"/>
    <pivotField axis="axisRow"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/>
    <pivotField dataField="1" showAll="0"/>
    <pivotField numFmtId="3" showAll="0"/>
    <pivotField numFmtId="3"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5"/>
        <item x="4"/>
        <item x="1"/>
        <item x="2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Quantité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E5B70-0EFA-4620-910E-B3CBC4A88DA8}" name="Tableau croisé dynamique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C9:D10" firstHeaderRow="0" firstDataRow="1" firstDataCol="0"/>
  <pivotFields count="13">
    <pivotField dataField="1" showAll="0"/>
    <pivotField numFmtId="14" showAll="0">
      <items count="157">
        <item x="140"/>
        <item x="115"/>
        <item x="84"/>
        <item x="73"/>
        <item x="150"/>
        <item x="10"/>
        <item x="34"/>
        <item x="19"/>
        <item x="4"/>
        <item x="124"/>
        <item x="93"/>
        <item x="105"/>
        <item x="142"/>
        <item x="109"/>
        <item x="0"/>
        <item x="132"/>
        <item x="74"/>
        <item x="95"/>
        <item x="5"/>
        <item x="107"/>
        <item x="61"/>
        <item x="75"/>
        <item x="56"/>
        <item x="57"/>
        <item x="110"/>
        <item x="35"/>
        <item x="36"/>
        <item x="106"/>
        <item x="76"/>
        <item x="58"/>
        <item x="20"/>
        <item x="28"/>
        <item x="85"/>
        <item x="86"/>
        <item x="37"/>
        <item x="38"/>
        <item x="120"/>
        <item x="133"/>
        <item x="96"/>
        <item x="39"/>
        <item x="67"/>
        <item x="87"/>
        <item x="134"/>
        <item x="154"/>
        <item x="68"/>
        <item x="155"/>
        <item x="21"/>
        <item x="77"/>
        <item x="111"/>
        <item x="100"/>
        <item x="78"/>
        <item x="141"/>
        <item x="79"/>
        <item x="135"/>
        <item x="49"/>
        <item x="69"/>
        <item x="101"/>
        <item x="116"/>
        <item x="59"/>
        <item x="125"/>
        <item x="143"/>
        <item x="151"/>
        <item x="91"/>
        <item x="88"/>
        <item x="29"/>
        <item x="40"/>
        <item x="136"/>
        <item x="11"/>
        <item x="12"/>
        <item x="112"/>
        <item x="147"/>
        <item x="152"/>
        <item x="153"/>
        <item x="1"/>
        <item x="6"/>
        <item x="22"/>
        <item x="94"/>
        <item x="89"/>
        <item x="7"/>
        <item x="23"/>
        <item x="80"/>
        <item x="13"/>
        <item x="102"/>
        <item x="50"/>
        <item x="47"/>
        <item x="113"/>
        <item x="15"/>
        <item x="126"/>
        <item x="2"/>
        <item x="97"/>
        <item x="41"/>
        <item x="70"/>
        <item x="48"/>
        <item x="51"/>
        <item x="137"/>
        <item x="92"/>
        <item x="90"/>
        <item x="24"/>
        <item x="62"/>
        <item x="148"/>
        <item x="103"/>
        <item x="16"/>
        <item x="145"/>
        <item x="71"/>
        <item x="121"/>
        <item x="146"/>
        <item x="81"/>
        <item x="30"/>
        <item x="144"/>
        <item x="42"/>
        <item x="82"/>
        <item x="83"/>
        <item x="17"/>
        <item x="52"/>
        <item x="3"/>
        <item x="127"/>
        <item x="31"/>
        <item x="122"/>
        <item x="9"/>
        <item x="117"/>
        <item x="53"/>
        <item x="149"/>
        <item x="63"/>
        <item x="43"/>
        <item x="25"/>
        <item x="118"/>
        <item x="104"/>
        <item x="138"/>
        <item x="44"/>
        <item x="33"/>
        <item x="72"/>
        <item x="60"/>
        <item x="139"/>
        <item x="114"/>
        <item x="64"/>
        <item x="98"/>
        <item x="128"/>
        <item x="123"/>
        <item x="108"/>
        <item x="54"/>
        <item x="45"/>
        <item x="129"/>
        <item x="14"/>
        <item x="99"/>
        <item x="8"/>
        <item x="65"/>
        <item x="26"/>
        <item x="18"/>
        <item x="66"/>
        <item x="130"/>
        <item x="32"/>
        <item x="131"/>
        <item x="55"/>
        <item x="119"/>
        <item x="27"/>
        <item x="4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16">
        <item x="13"/>
        <item x="14"/>
        <item x="6"/>
        <item x="5"/>
        <item x="7"/>
        <item x="9"/>
        <item x="1"/>
        <item x="4"/>
        <item x="2"/>
        <item x="8"/>
        <item x="11"/>
        <item x="0"/>
        <item x="12"/>
        <item x="3"/>
        <item x="10"/>
        <item t="default"/>
      </items>
    </pivotField>
    <pivotField showAll="0"/>
    <pivotField showAll="0"/>
    <pivotField numFmtId="3" showAll="0"/>
    <pivotField dataField="1" numFmtId="3" showAll="0"/>
    <pivotField showAll="0">
      <items count="4">
        <item x="1"/>
        <item x="0"/>
        <item x="2"/>
        <item t="default"/>
      </items>
    </pivotField>
    <pivotField showAll="0">
      <items count="7">
        <item x="0"/>
        <item x="5"/>
        <item x="4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Montant_Total_FCFA" fld="8" baseField="0" baseItem="0" numFmtId="3"/>
    <dataField name="Nombre de ID_Ve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277836D-EC2D-49ED-9A79-FC319FAB3F2B}" autoFormatId="16" applyNumberFormats="0" applyBorderFormats="0" applyFontFormats="0" applyPatternFormats="0" applyAlignmentFormats="0" applyWidthHeightFormats="0">
  <queryTableRefresh nextId="9">
    <queryTableFields count="8">
      <queryTableField id="1" name="ID_Vente" tableColumnId="9"/>
      <queryTableField id="2" name="Date" tableColumnId="2"/>
      <queryTableField id="3" name="Boutique" tableColumnId="3"/>
      <queryTableField id="4" name="Vendeur" tableColumnId="4"/>
      <queryTableField id="5" name="Produit" tableColumnId="5"/>
      <queryTableField id="6" name="Quantité" tableColumnId="6"/>
      <queryTableField id="7" name="Prix_Unitaire" tableColumnId="7"/>
      <queryTableField id="8" name="Mode_Paiement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" xr10:uid="{EAF1F4AB-8163-45F8-94C3-D98A2A6D809D}" sourceName="Mois">
  <pivotTables>
    <pivotTable tabId="6" name="Tableau croisé dynamique3"/>
    <pivotTable tabId="6" name="Tableau croisé dynamique4"/>
    <pivotTable tabId="6" name="Tableau croisé dynamique1"/>
    <pivotTable tabId="10" name="Tableau croisé dynamique8"/>
    <pivotTable tabId="10" name="Tableau croisé dynamique9"/>
    <pivotTable tabId="10" name="Tableau croisé dynamique10"/>
  </pivotTables>
  <data>
    <tabular pivotCacheId="168867588">
      <items count="6">
        <i x="0" s="1"/>
        <i x="5" s="1"/>
        <i x="4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outique" xr10:uid="{3BA8536C-DCB7-4A46-83A5-3FCD8EBD6C7E}" sourceName="Boutique">
  <pivotTables>
    <pivotTable tabId="6" name="Tableau croisé dynamique2"/>
    <pivotTable tabId="6" name="Tableau croisé dynamique4"/>
    <pivotTable tabId="6" name="Tableau croisé dynamique1"/>
    <pivotTable tabId="10" name="Tableau croisé dynamique8"/>
    <pivotTable tabId="10" name="Tableau croisé dynamique9"/>
    <pivotTable tabId="10" name="Tableau croisé dynamique10"/>
  </pivotTables>
  <data>
    <tabular pivotCacheId="168867588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6C2152DD-3C49-4D08-A6E2-CE384657831F}" sourceName="Produit">
  <pivotTables>
    <pivotTable tabId="6" name="Tableau croisé dynamique2"/>
    <pivotTable tabId="6" name="Tableau croisé dynamique3"/>
    <pivotTable tabId="10" name="Tableau croisé dynamique8"/>
    <pivotTable tabId="10" name="Tableau croisé dynamique9"/>
    <pivotTable tabId="10" name="Tableau croisé dynamique10"/>
  </pivotTables>
  <data>
    <tabular pivotCacheId="168867588">
      <items count="15">
        <i x="13" s="1"/>
        <i x="14" s="1"/>
        <i x="6" s="1"/>
        <i x="5" s="1"/>
        <i x="7" s="1"/>
        <i x="9" s="1"/>
        <i x="1" s="1"/>
        <i x="4" s="1"/>
        <i x="2" s="1"/>
        <i x="8" s="1"/>
        <i x="11" s="1"/>
        <i x="0" s="1"/>
        <i x="12" s="1"/>
        <i x="3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" xr10:uid="{B03A3C21-23A5-4D90-9B11-063FA381508C}" cache="Segment_Mois" caption="Mois" columnCount="2" rowHeight="234950"/>
  <slicer name="Boutique" xr10:uid="{F1FA3739-3FEA-4FC4-99F3-8B9F9BA702B4}" cache="Segment_Boutique" caption="Boutique" rowHeight="234950"/>
  <slicer name="Produit" xr10:uid="{9E2D3E9C-6C48-4612-8925-06A367493AE3}" cache="Segment_Produit" caption="Produit" rowHeight="2349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BDC31B-5624-4887-BE56-8A7C7D6527E4}" name="Tableau3" displayName="Tableau3" ref="A1:L401" totalsRowShown="0" headerRowDxfId="30">
  <autoFilter ref="A1:L401" xr:uid="{2CBDC31B-5624-4887-BE56-8A7C7D6527E4}"/>
  <tableColumns count="12">
    <tableColumn id="1" xr3:uid="{AD923309-41C0-431A-848E-51453B6AE548}" name="ID_Vente" dataDxfId="29"/>
    <tableColumn id="2" xr3:uid="{D40A7D02-6D95-4846-99E4-3883E16C9E5C}" name="Date" dataDxfId="28"/>
    <tableColumn id="3" xr3:uid="{005FD6AE-B7A2-43FF-8463-C08C7B1CF3A7}" name="Boutique" dataDxfId="27"/>
    <tableColumn id="4" xr3:uid="{2F2EA840-B33C-41B3-B417-C7FEBF73C6DE}" name="Vendeur" dataDxfId="26"/>
    <tableColumn id="5" xr3:uid="{0EF669EF-85F9-4285-A62D-32350E2CDE24}" name="Produit" dataDxfId="25"/>
    <tableColumn id="6" xr3:uid="{70F751C3-DF67-45A4-AB6E-8CC55FB515C6}" name="Catégorie" dataDxfId="24"/>
    <tableColumn id="7" xr3:uid="{406B7241-972F-418A-973B-9E36E59E8C89}" name="Quantité" dataDxfId="23"/>
    <tableColumn id="8" xr3:uid="{090FFE06-C271-4962-829C-FDBC68220063}" name="Prix_Unitaire_FCFA" dataDxfId="22"/>
    <tableColumn id="9" xr3:uid="{A9F4FC41-0494-47B8-A382-70D808687528}" name="Montant_Total_FCFA" dataDxfId="21">
      <calculatedColumnFormula>G2*H2</calculatedColumnFormula>
    </tableColumn>
    <tableColumn id="10" xr3:uid="{3A2BA87F-7B2E-4603-8822-B1F9E2A72EF2}" name="Mode_Paiement" dataDxfId="20"/>
    <tableColumn id="11" xr3:uid="{B264348D-13D8-4C73-B683-9B897127B9BB}" name="Mois" dataDxfId="19">
      <calculatedColumnFormula>TEXT(B2,"mmmm")</calculatedColumnFormula>
    </tableColumn>
    <tableColumn id="12" xr3:uid="{36485DC4-E688-4A01-A985-BEFA29EAC370}" name="Gros panier " dataDxfId="18">
      <calculatedColumnFormula>IF(I2&gt;5000,"Oui","Non")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7EAE3-DF07-4403-B76D-D94B599D494E}" name="Tableau1" displayName="Tableau1" ref="A1:H84" totalsRowShown="0" headerRowDxfId="17" dataDxfId="16">
  <autoFilter ref="A1:H84" xr:uid="{9F87EAE3-DF07-4403-B76D-D94B599D494E}"/>
  <tableColumns count="8">
    <tableColumn id="1" xr3:uid="{24706FDA-E11A-4DF0-B024-D0ABAE9386A1}" name="ID_Vente" dataDxfId="15"/>
    <tableColumn id="2" xr3:uid="{3DD00B68-BF39-4603-ADAE-A808D3F96B81}" name="Date" dataDxfId="14"/>
    <tableColumn id="3" xr3:uid="{AC9B3109-662A-4A75-9973-BB68CCB7CEBC}" name="Boutique" dataDxfId="13"/>
    <tableColumn id="4" xr3:uid="{7C31E99C-606B-48EE-A17F-F244A875FB74}" name="Vendeur" dataDxfId="12"/>
    <tableColumn id="5" xr3:uid="{6879F394-343F-4299-AA42-3B9FC0428EC7}" name="Produit" dataDxfId="11"/>
    <tableColumn id="6" xr3:uid="{BDA94090-E11D-4A55-90F8-F8B1281EADF9}" name="Quantité" dataDxfId="10"/>
    <tableColumn id="7" xr3:uid="{ECA15547-F002-4D74-B9A0-8C71CD1D8AAD}" name="Prix_Unitaire" dataDxfId="9"/>
    <tableColumn id="8" xr3:uid="{FB9A1428-ED35-49B4-9E1E-81C12DC7200E}" name="Mode_Paiement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ADC29-F6CA-4652-B991-248BE14CF0B8}" name="Tableau1_2" displayName="Tableau1_2" ref="A1:H81" tableType="queryTable" totalsRowShown="0">
  <autoFilter ref="A1:H81" xr:uid="{33DADC29-F6CA-4652-B991-248BE14CF0B8}"/>
  <tableColumns count="8">
    <tableColumn id="9" xr3:uid="{6735FCED-5B85-4BC0-A8BA-D0555ADB1683}" uniqueName="9" name="ID_Vente" queryTableFieldId="1" dataDxfId="7"/>
    <tableColumn id="2" xr3:uid="{49D7BC63-4BF9-42A9-9F0A-A86194DCACFD}" uniqueName="2" name="Date" queryTableFieldId="2" dataDxfId="6"/>
    <tableColumn id="3" xr3:uid="{D7E7487B-920C-4EA4-B356-454D303D0244}" uniqueName="3" name="Boutique" queryTableFieldId="3" dataDxfId="5"/>
    <tableColumn id="4" xr3:uid="{87F99A14-0F1F-446E-98B1-5D1CC340620A}" uniqueName="4" name="Vendeur" queryTableFieldId="4" dataDxfId="4"/>
    <tableColumn id="5" xr3:uid="{2130B32B-675F-4253-866D-280E2594E076}" uniqueName="5" name="Produit" queryTableFieldId="5" dataDxfId="3"/>
    <tableColumn id="6" xr3:uid="{99805072-4A61-4231-AE43-1E23FF9373D9}" uniqueName="6" name="Quantité" queryTableFieldId="6" dataDxfId="2"/>
    <tableColumn id="7" xr3:uid="{2FA5431D-FE55-4DCC-A99D-4F723EBE5673}" uniqueName="7" name="Prix_Unitaire" queryTableFieldId="7" dataDxfId="1"/>
    <tableColumn id="8" xr3:uid="{07738265-E94D-417D-AF48-0FC5D1DC5F1A}" uniqueName="8" name="Mode_Paieme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opLeftCell="A2" zoomScaleNormal="100" workbookViewId="0"/>
  </sheetViews>
  <sheetFormatPr baseColWidth="10" defaultColWidth="8.6640625" defaultRowHeight="14.4" x14ac:dyDescent="0.3"/>
  <cols>
    <col min="1" max="1" width="110" customWidth="1"/>
  </cols>
  <sheetData>
    <row r="1" spans="1:1" ht="16.8" x14ac:dyDescent="0.3">
      <c r="A1" s="1" t="s">
        <v>0</v>
      </c>
    </row>
    <row r="2" spans="1:1" x14ac:dyDescent="0.3">
      <c r="A2" s="2"/>
    </row>
    <row r="3" spans="1:1" ht="27.6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ht="27.6" x14ac:dyDescent="0.3">
      <c r="A10" s="2" t="s">
        <v>7</v>
      </c>
    </row>
    <row r="11" spans="1:1" x14ac:dyDescent="0.3">
      <c r="A11" s="2"/>
    </row>
    <row r="12" spans="1:1" x14ac:dyDescent="0.3">
      <c r="A12" s="2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2"/>
  <sheetViews>
    <sheetView zoomScaleNormal="100" workbookViewId="0">
      <pane ySplit="1" topLeftCell="A375" activePane="bottomLeft" state="frozen"/>
      <selection pane="bottomLeft" activeCell="H17" sqref="A2:L401"/>
    </sheetView>
  </sheetViews>
  <sheetFormatPr baseColWidth="10" defaultColWidth="8.6640625" defaultRowHeight="14.4" x14ac:dyDescent="0.3"/>
  <cols>
    <col min="1" max="1" width="11.77734375" customWidth="1"/>
    <col min="2" max="2" width="12" customWidth="1"/>
    <col min="3" max="3" width="13.21875" customWidth="1"/>
    <col min="4" max="4" width="13.44140625" customWidth="1"/>
    <col min="5" max="5" width="24" customWidth="1"/>
    <col min="6" max="6" width="15.109375" customWidth="1"/>
    <col min="7" max="7" width="14.88671875" customWidth="1"/>
    <col min="8" max="8" width="25.44140625" customWidth="1"/>
    <col min="9" max="9" width="25.33203125" customWidth="1"/>
    <col min="10" max="10" width="23.6640625" customWidth="1"/>
    <col min="12" max="12" width="14.77734375" customWidth="1"/>
  </cols>
  <sheetData>
    <row r="1" spans="1:16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10" t="s">
        <v>626</v>
      </c>
      <c r="L1" s="17" t="s">
        <v>650</v>
      </c>
    </row>
    <row r="2" spans="1:16" x14ac:dyDescent="0.3">
      <c r="A2" s="5" t="s">
        <v>78</v>
      </c>
      <c r="B2" s="6">
        <v>46042</v>
      </c>
      <c r="C2" s="5" t="s">
        <v>20</v>
      </c>
      <c r="D2" s="5" t="s">
        <v>32</v>
      </c>
      <c r="E2" s="5" t="s">
        <v>41</v>
      </c>
      <c r="F2" s="5" t="s">
        <v>29</v>
      </c>
      <c r="G2" s="5">
        <v>3</v>
      </c>
      <c r="H2" s="7">
        <v>3500</v>
      </c>
      <c r="I2" s="7">
        <f t="shared" ref="I2:I65" si="0">G2*H2</f>
        <v>10500</v>
      </c>
      <c r="J2" s="5" t="s">
        <v>24</v>
      </c>
      <c r="K2" s="11" t="str">
        <f>TEXT(B2,"mmmm")</f>
        <v>janvier</v>
      </c>
      <c r="L2" s="11" t="str">
        <f>IF(I2&gt;5000,"Oui","Non")</f>
        <v>Oui</v>
      </c>
    </row>
    <row r="3" spans="1:16" x14ac:dyDescent="0.3">
      <c r="A3" s="5" t="s">
        <v>230</v>
      </c>
      <c r="B3" s="6">
        <v>46115</v>
      </c>
      <c r="C3" s="5" t="s">
        <v>26</v>
      </c>
      <c r="D3" s="5" t="s">
        <v>38</v>
      </c>
      <c r="E3" s="5" t="s">
        <v>41</v>
      </c>
      <c r="F3" s="5" t="s">
        <v>29</v>
      </c>
      <c r="G3" s="5">
        <v>3</v>
      </c>
      <c r="H3" s="7">
        <v>3500</v>
      </c>
      <c r="I3" s="7">
        <f t="shared" si="0"/>
        <v>10500</v>
      </c>
      <c r="J3" s="5" t="s">
        <v>34</v>
      </c>
      <c r="K3" s="11" t="str">
        <f t="shared" ref="K3:K66" si="1">TEXT(B3,"mmmm")</f>
        <v>avril</v>
      </c>
      <c r="L3" s="11" t="str">
        <f t="shared" ref="L3:L66" si="2">IF(I3&gt;5000,"Oui","Non")</f>
        <v>Oui</v>
      </c>
    </row>
    <row r="4" spans="1:16" x14ac:dyDescent="0.3">
      <c r="A4" s="5" t="s">
        <v>271</v>
      </c>
      <c r="B4" s="6">
        <v>46134</v>
      </c>
      <c r="C4" s="5" t="s">
        <v>26</v>
      </c>
      <c r="D4" s="5" t="s">
        <v>38</v>
      </c>
      <c r="E4" s="5" t="s">
        <v>41</v>
      </c>
      <c r="F4" s="5" t="s">
        <v>29</v>
      </c>
      <c r="G4" s="5">
        <v>3</v>
      </c>
      <c r="H4" s="7">
        <v>3500</v>
      </c>
      <c r="I4" s="7">
        <f t="shared" si="0"/>
        <v>10500</v>
      </c>
      <c r="J4" s="5" t="s">
        <v>24</v>
      </c>
      <c r="K4" s="11" t="str">
        <f t="shared" si="1"/>
        <v>avril</v>
      </c>
      <c r="L4" s="11" t="str">
        <f t="shared" si="2"/>
        <v>Oui</v>
      </c>
      <c r="O4" t="s">
        <v>613</v>
      </c>
      <c r="P4">
        <f>SUM(I:I)</f>
        <v>977600</v>
      </c>
    </row>
    <row r="5" spans="1:16" x14ac:dyDescent="0.3">
      <c r="A5" s="5" t="s">
        <v>336</v>
      </c>
      <c r="B5" s="6">
        <v>46162</v>
      </c>
      <c r="C5" s="5" t="s">
        <v>20</v>
      </c>
      <c r="D5" s="5" t="s">
        <v>21</v>
      </c>
      <c r="E5" s="5" t="s">
        <v>41</v>
      </c>
      <c r="F5" s="5" t="s">
        <v>29</v>
      </c>
      <c r="G5" s="5">
        <v>3</v>
      </c>
      <c r="H5" s="7">
        <v>3500</v>
      </c>
      <c r="I5" s="7">
        <f t="shared" si="0"/>
        <v>10500</v>
      </c>
      <c r="J5" s="5" t="s">
        <v>34</v>
      </c>
      <c r="K5" s="11" t="str">
        <f t="shared" si="1"/>
        <v>mai</v>
      </c>
      <c r="L5" s="11" t="str">
        <f t="shared" si="2"/>
        <v>Oui</v>
      </c>
      <c r="N5" t="s">
        <v>614</v>
      </c>
      <c r="P5">
        <f>COUNTA(E:E)</f>
        <v>401</v>
      </c>
    </row>
    <row r="6" spans="1:16" x14ac:dyDescent="0.3">
      <c r="A6" s="5" t="s">
        <v>64</v>
      </c>
      <c r="B6" s="6">
        <v>46035</v>
      </c>
      <c r="C6" s="5" t="s">
        <v>26</v>
      </c>
      <c r="D6" s="5" t="s">
        <v>38</v>
      </c>
      <c r="E6" s="5" t="s">
        <v>57</v>
      </c>
      <c r="F6" s="5" t="s">
        <v>52</v>
      </c>
      <c r="G6" s="5">
        <v>10</v>
      </c>
      <c r="H6" s="7">
        <v>1000</v>
      </c>
      <c r="I6" s="7">
        <f t="shared" si="0"/>
        <v>10000</v>
      </c>
      <c r="J6" s="5" t="s">
        <v>24</v>
      </c>
      <c r="K6" s="11" t="str">
        <f t="shared" si="1"/>
        <v>janvier</v>
      </c>
      <c r="L6" s="11" t="str">
        <f t="shared" si="2"/>
        <v>Oui</v>
      </c>
      <c r="N6" t="s">
        <v>615</v>
      </c>
      <c r="P6">
        <f>AVERAGE(I:I)</f>
        <v>2444</v>
      </c>
    </row>
    <row r="7" spans="1:16" x14ac:dyDescent="0.3">
      <c r="A7" s="5" t="s">
        <v>93</v>
      </c>
      <c r="B7" s="6">
        <v>46046</v>
      </c>
      <c r="C7" s="5" t="s">
        <v>44</v>
      </c>
      <c r="D7" s="5" t="s">
        <v>62</v>
      </c>
      <c r="E7" s="5" t="s">
        <v>57</v>
      </c>
      <c r="F7" s="5" t="s">
        <v>52</v>
      </c>
      <c r="G7" s="5">
        <v>10</v>
      </c>
      <c r="H7" s="7">
        <v>1000</v>
      </c>
      <c r="I7" s="7">
        <f t="shared" si="0"/>
        <v>10000</v>
      </c>
      <c r="J7" s="5" t="s">
        <v>34</v>
      </c>
      <c r="K7" s="11" t="str">
        <f t="shared" si="1"/>
        <v>janvier</v>
      </c>
      <c r="L7" s="11" t="str">
        <f t="shared" si="2"/>
        <v>Oui</v>
      </c>
      <c r="N7" t="s">
        <v>616</v>
      </c>
      <c r="P7">
        <f>MAX(H:H)</f>
        <v>3500</v>
      </c>
    </row>
    <row r="8" spans="1:16" x14ac:dyDescent="0.3">
      <c r="A8" s="5" t="s">
        <v>235</v>
      </c>
      <c r="B8" s="6">
        <v>46116</v>
      </c>
      <c r="C8" s="5" t="s">
        <v>44</v>
      </c>
      <c r="D8" s="5" t="s">
        <v>45</v>
      </c>
      <c r="E8" s="5" t="s">
        <v>57</v>
      </c>
      <c r="F8" s="5" t="s">
        <v>52</v>
      </c>
      <c r="G8" s="5">
        <v>10</v>
      </c>
      <c r="H8" s="7">
        <v>1000</v>
      </c>
      <c r="I8" s="7">
        <f t="shared" si="0"/>
        <v>10000</v>
      </c>
      <c r="J8" s="5" t="s">
        <v>34</v>
      </c>
      <c r="K8" s="11" t="str">
        <f t="shared" si="1"/>
        <v>avril</v>
      </c>
      <c r="L8" s="11" t="str">
        <f t="shared" si="2"/>
        <v>Oui</v>
      </c>
      <c r="N8" t="s">
        <v>617</v>
      </c>
      <c r="P8">
        <f>MIN(H:H)</f>
        <v>250</v>
      </c>
    </row>
    <row r="9" spans="1:16" x14ac:dyDescent="0.3">
      <c r="A9" s="5" t="s">
        <v>243</v>
      </c>
      <c r="B9" s="6">
        <v>46120</v>
      </c>
      <c r="C9" s="5" t="s">
        <v>44</v>
      </c>
      <c r="D9" s="5" t="s">
        <v>45</v>
      </c>
      <c r="E9" s="5" t="s">
        <v>57</v>
      </c>
      <c r="F9" s="5" t="s">
        <v>52</v>
      </c>
      <c r="G9" s="5">
        <v>10</v>
      </c>
      <c r="H9" s="7">
        <v>1000</v>
      </c>
      <c r="I9" s="7">
        <f t="shared" si="0"/>
        <v>10000</v>
      </c>
      <c r="J9" s="5" t="s">
        <v>34</v>
      </c>
      <c r="K9" s="11" t="str">
        <f t="shared" si="1"/>
        <v>avril</v>
      </c>
      <c r="L9" s="11" t="str">
        <f t="shared" si="2"/>
        <v>Oui</v>
      </c>
      <c r="N9" t="s">
        <v>618</v>
      </c>
    </row>
    <row r="10" spans="1:16" x14ac:dyDescent="0.3">
      <c r="A10" s="5" t="s">
        <v>421</v>
      </c>
      <c r="B10" s="6">
        <v>46192</v>
      </c>
      <c r="C10" s="5" t="s">
        <v>20</v>
      </c>
      <c r="D10" s="5" t="s">
        <v>21</v>
      </c>
      <c r="E10" s="5" t="s">
        <v>57</v>
      </c>
      <c r="F10" s="5" t="s">
        <v>52</v>
      </c>
      <c r="G10" s="5">
        <v>10</v>
      </c>
      <c r="H10" s="7">
        <v>1000</v>
      </c>
      <c r="I10" s="7">
        <f t="shared" si="0"/>
        <v>10000</v>
      </c>
      <c r="J10" s="5" t="s">
        <v>30</v>
      </c>
      <c r="K10" s="11" t="str">
        <f t="shared" si="1"/>
        <v>juin</v>
      </c>
      <c r="L10" s="11" t="str">
        <f t="shared" si="2"/>
        <v>Oui</v>
      </c>
      <c r="N10" t="s">
        <v>619</v>
      </c>
      <c r="P10">
        <f>SUMIF(C:C,C2,I:I)</f>
        <v>325850</v>
      </c>
    </row>
    <row r="11" spans="1:16" x14ac:dyDescent="0.3">
      <c r="A11" s="5" t="s">
        <v>347</v>
      </c>
      <c r="B11" s="6">
        <v>46166</v>
      </c>
      <c r="C11" s="5" t="s">
        <v>44</v>
      </c>
      <c r="D11" s="5" t="s">
        <v>62</v>
      </c>
      <c r="E11" s="5" t="s">
        <v>73</v>
      </c>
      <c r="F11" s="5" t="s">
        <v>47</v>
      </c>
      <c r="G11" s="5">
        <v>10</v>
      </c>
      <c r="H11" s="7">
        <v>900</v>
      </c>
      <c r="I11" s="7">
        <f t="shared" si="0"/>
        <v>9000</v>
      </c>
      <c r="J11" s="5" t="s">
        <v>34</v>
      </c>
      <c r="K11" s="11" t="str">
        <f t="shared" si="1"/>
        <v>mai</v>
      </c>
      <c r="L11" s="11" t="str">
        <f t="shared" si="2"/>
        <v>Oui</v>
      </c>
      <c r="N11" t="s">
        <v>620</v>
      </c>
      <c r="P11">
        <f>SUMIF(C:C,C3,I:I)</f>
        <v>337850</v>
      </c>
    </row>
    <row r="12" spans="1:16" x14ac:dyDescent="0.3">
      <c r="A12" s="5" t="s">
        <v>48</v>
      </c>
      <c r="B12" s="6">
        <v>46030</v>
      </c>
      <c r="C12" s="5" t="s">
        <v>26</v>
      </c>
      <c r="D12" s="5" t="s">
        <v>38</v>
      </c>
      <c r="E12" s="5" t="s">
        <v>36</v>
      </c>
      <c r="F12" s="5" t="s">
        <v>29</v>
      </c>
      <c r="G12" s="5">
        <v>10</v>
      </c>
      <c r="H12" s="7">
        <v>800</v>
      </c>
      <c r="I12" s="7">
        <f t="shared" si="0"/>
        <v>8000</v>
      </c>
      <c r="J12" s="5" t="s">
        <v>24</v>
      </c>
      <c r="K12" s="11" t="str">
        <f t="shared" si="1"/>
        <v>janvier</v>
      </c>
      <c r="L12" s="11" t="str">
        <f t="shared" si="2"/>
        <v>Oui</v>
      </c>
      <c r="N12" t="s">
        <v>621</v>
      </c>
      <c r="P12">
        <f>SUMIF(C:C,C7,I:I)</f>
        <v>313900</v>
      </c>
    </row>
    <row r="13" spans="1:16" x14ac:dyDescent="0.3">
      <c r="A13" s="5" t="s">
        <v>219</v>
      </c>
      <c r="B13" s="6">
        <v>46108</v>
      </c>
      <c r="C13" s="5" t="s">
        <v>20</v>
      </c>
      <c r="D13" s="5" t="s">
        <v>21</v>
      </c>
      <c r="E13" s="5" t="s">
        <v>36</v>
      </c>
      <c r="F13" s="5" t="s">
        <v>29</v>
      </c>
      <c r="G13" s="5">
        <v>10</v>
      </c>
      <c r="H13" s="7">
        <v>800</v>
      </c>
      <c r="I13" s="7">
        <f t="shared" si="0"/>
        <v>8000</v>
      </c>
      <c r="J13" s="5" t="s">
        <v>24</v>
      </c>
      <c r="K13" s="11" t="str">
        <f t="shared" si="1"/>
        <v>mars</v>
      </c>
      <c r="L13" s="11" t="str">
        <f t="shared" si="2"/>
        <v>Oui</v>
      </c>
      <c r="O13" t="s">
        <v>622</v>
      </c>
      <c r="P13">
        <f>SUM(P10,P11,P12)</f>
        <v>977600</v>
      </c>
    </row>
    <row r="14" spans="1:16" x14ac:dyDescent="0.3">
      <c r="A14" s="5" t="s">
        <v>223</v>
      </c>
      <c r="B14" s="6">
        <v>46109</v>
      </c>
      <c r="C14" s="5" t="s">
        <v>20</v>
      </c>
      <c r="D14" s="5" t="s">
        <v>32</v>
      </c>
      <c r="E14" s="5" t="s">
        <v>36</v>
      </c>
      <c r="F14" s="5" t="s">
        <v>29</v>
      </c>
      <c r="G14" s="5">
        <v>10</v>
      </c>
      <c r="H14" s="7">
        <v>800</v>
      </c>
      <c r="I14" s="7">
        <f t="shared" si="0"/>
        <v>8000</v>
      </c>
      <c r="J14" s="5" t="s">
        <v>24</v>
      </c>
      <c r="K14" s="11" t="str">
        <f t="shared" si="1"/>
        <v>mars</v>
      </c>
      <c r="L14" s="11" t="str">
        <f t="shared" si="2"/>
        <v>Oui</v>
      </c>
      <c r="N14" t="s">
        <v>623</v>
      </c>
      <c r="P14">
        <f>COUNTIF(J:J,J10)</f>
        <v>108</v>
      </c>
    </row>
    <row r="15" spans="1:16" x14ac:dyDescent="0.3">
      <c r="A15" s="5" t="s">
        <v>255</v>
      </c>
      <c r="B15" s="6">
        <v>46126</v>
      </c>
      <c r="C15" s="5" t="s">
        <v>26</v>
      </c>
      <c r="D15" s="5" t="s">
        <v>38</v>
      </c>
      <c r="E15" s="5" t="s">
        <v>36</v>
      </c>
      <c r="F15" s="5" t="s">
        <v>29</v>
      </c>
      <c r="G15" s="5">
        <v>10</v>
      </c>
      <c r="H15" s="7">
        <v>800</v>
      </c>
      <c r="I15" s="7">
        <f t="shared" si="0"/>
        <v>8000</v>
      </c>
      <c r="J15" s="5" t="s">
        <v>34</v>
      </c>
      <c r="K15" s="11" t="str">
        <f t="shared" si="1"/>
        <v>avril</v>
      </c>
      <c r="L15" s="11" t="str">
        <f t="shared" si="2"/>
        <v>Oui</v>
      </c>
      <c r="N15" t="s">
        <v>624</v>
      </c>
      <c r="P15">
        <f>COUNTIF(J:J,J2)</f>
        <v>58</v>
      </c>
    </row>
    <row r="16" spans="1:16" x14ac:dyDescent="0.3">
      <c r="A16" s="5" t="s">
        <v>414</v>
      </c>
      <c r="B16" s="6">
        <v>46190</v>
      </c>
      <c r="C16" s="5" t="s">
        <v>44</v>
      </c>
      <c r="D16" s="5" t="s">
        <v>62</v>
      </c>
      <c r="E16" s="5" t="s">
        <v>36</v>
      </c>
      <c r="F16" s="5" t="s">
        <v>29</v>
      </c>
      <c r="G16" s="5">
        <v>10</v>
      </c>
      <c r="H16" s="7">
        <v>800</v>
      </c>
      <c r="I16" s="7">
        <f t="shared" si="0"/>
        <v>8000</v>
      </c>
      <c r="J16" s="5" t="s">
        <v>30</v>
      </c>
      <c r="K16" s="11" t="str">
        <f t="shared" si="1"/>
        <v>juin</v>
      </c>
      <c r="L16" s="11" t="str">
        <f t="shared" si="2"/>
        <v>Oui</v>
      </c>
      <c r="N16" t="s">
        <v>625</v>
      </c>
      <c r="P16">
        <f>SUMIFS(I:I,C:C,C7,F:F,F6)</f>
        <v>77000</v>
      </c>
    </row>
    <row r="17" spans="1:14" x14ac:dyDescent="0.3">
      <c r="A17" s="5" t="s">
        <v>268</v>
      </c>
      <c r="B17" s="6">
        <v>46131</v>
      </c>
      <c r="C17" s="5" t="s">
        <v>44</v>
      </c>
      <c r="D17" s="5" t="s">
        <v>62</v>
      </c>
      <c r="E17" s="5" t="s">
        <v>59</v>
      </c>
      <c r="F17" s="5" t="s">
        <v>29</v>
      </c>
      <c r="G17" s="5">
        <v>3</v>
      </c>
      <c r="H17" s="7">
        <v>2500</v>
      </c>
      <c r="I17" s="7">
        <f t="shared" si="0"/>
        <v>7500</v>
      </c>
      <c r="J17" s="5" t="s">
        <v>34</v>
      </c>
      <c r="K17" s="11" t="str">
        <f t="shared" si="1"/>
        <v>avril</v>
      </c>
      <c r="L17" s="11" t="str">
        <f t="shared" si="2"/>
        <v>Oui</v>
      </c>
    </row>
    <row r="18" spans="1:14" x14ac:dyDescent="0.3">
      <c r="A18" s="5" t="s">
        <v>308</v>
      </c>
      <c r="B18" s="6">
        <v>46147</v>
      </c>
      <c r="C18" s="5" t="s">
        <v>26</v>
      </c>
      <c r="D18" s="5" t="s">
        <v>38</v>
      </c>
      <c r="E18" s="5" t="s">
        <v>59</v>
      </c>
      <c r="F18" s="5" t="s">
        <v>29</v>
      </c>
      <c r="G18" s="5">
        <v>3</v>
      </c>
      <c r="H18" s="7">
        <v>2500</v>
      </c>
      <c r="I18" s="7">
        <f t="shared" si="0"/>
        <v>7500</v>
      </c>
      <c r="J18" s="5" t="s">
        <v>30</v>
      </c>
      <c r="K18" s="11" t="str">
        <f t="shared" si="1"/>
        <v>mai</v>
      </c>
      <c r="L18" s="11" t="str">
        <f t="shared" si="2"/>
        <v>Oui</v>
      </c>
      <c r="N18" t="s">
        <v>636</v>
      </c>
    </row>
    <row r="19" spans="1:14" x14ac:dyDescent="0.3">
      <c r="A19" s="5" t="s">
        <v>330</v>
      </c>
      <c r="B19" s="6">
        <v>46160</v>
      </c>
      <c r="C19" s="5" t="s">
        <v>26</v>
      </c>
      <c r="D19" s="5" t="s">
        <v>38</v>
      </c>
      <c r="E19" s="5" t="s">
        <v>59</v>
      </c>
      <c r="F19" s="5" t="s">
        <v>29</v>
      </c>
      <c r="G19" s="5">
        <v>3</v>
      </c>
      <c r="H19" s="7">
        <v>2500</v>
      </c>
      <c r="I19" s="7">
        <f t="shared" si="0"/>
        <v>7500</v>
      </c>
      <c r="J19" s="5" t="s">
        <v>30</v>
      </c>
      <c r="K19" s="11" t="str">
        <f t="shared" si="1"/>
        <v>mai</v>
      </c>
      <c r="L19" s="11" t="str">
        <f t="shared" si="2"/>
        <v>Oui</v>
      </c>
    </row>
    <row r="20" spans="1:14" x14ac:dyDescent="0.3">
      <c r="A20" s="5" t="s">
        <v>426</v>
      </c>
      <c r="B20" s="6">
        <v>46195</v>
      </c>
      <c r="C20" s="5" t="s">
        <v>44</v>
      </c>
      <c r="D20" s="5" t="s">
        <v>62</v>
      </c>
      <c r="E20" s="5" t="s">
        <v>59</v>
      </c>
      <c r="F20" s="5" t="s">
        <v>29</v>
      </c>
      <c r="G20" s="5">
        <v>3</v>
      </c>
      <c r="H20" s="7">
        <v>2500</v>
      </c>
      <c r="I20" s="7">
        <f t="shared" si="0"/>
        <v>7500</v>
      </c>
      <c r="J20" s="5" t="s">
        <v>30</v>
      </c>
      <c r="K20" s="11" t="str">
        <f t="shared" si="1"/>
        <v>juin</v>
      </c>
      <c r="L20" s="11" t="str">
        <f t="shared" si="2"/>
        <v>Oui</v>
      </c>
    </row>
    <row r="21" spans="1:14" x14ac:dyDescent="0.3">
      <c r="A21" s="5" t="s">
        <v>53</v>
      </c>
      <c r="B21" s="6">
        <v>46030</v>
      </c>
      <c r="C21" s="5" t="s">
        <v>26</v>
      </c>
      <c r="D21" s="5" t="s">
        <v>27</v>
      </c>
      <c r="E21" s="5" t="s">
        <v>54</v>
      </c>
      <c r="F21" s="5" t="s">
        <v>47</v>
      </c>
      <c r="G21" s="5">
        <v>10</v>
      </c>
      <c r="H21" s="7">
        <v>700</v>
      </c>
      <c r="I21" s="7">
        <f t="shared" si="0"/>
        <v>7000</v>
      </c>
      <c r="J21" s="5" t="s">
        <v>34</v>
      </c>
      <c r="K21" s="11" t="str">
        <f t="shared" si="1"/>
        <v>janvier</v>
      </c>
      <c r="L21" s="11" t="str">
        <f t="shared" si="2"/>
        <v>Oui</v>
      </c>
    </row>
    <row r="22" spans="1:14" x14ac:dyDescent="0.3">
      <c r="A22" s="5" t="s">
        <v>61</v>
      </c>
      <c r="B22" s="6">
        <v>46034</v>
      </c>
      <c r="C22" s="5" t="s">
        <v>44</v>
      </c>
      <c r="D22" s="5" t="s">
        <v>62</v>
      </c>
      <c r="E22" s="5" t="s">
        <v>41</v>
      </c>
      <c r="F22" s="5" t="s">
        <v>29</v>
      </c>
      <c r="G22" s="5">
        <v>2</v>
      </c>
      <c r="H22" s="7">
        <v>3500</v>
      </c>
      <c r="I22" s="7">
        <f t="shared" si="0"/>
        <v>7000</v>
      </c>
      <c r="J22" s="5" t="s">
        <v>24</v>
      </c>
      <c r="K22" s="11" t="str">
        <f t="shared" si="1"/>
        <v>janvier</v>
      </c>
      <c r="L22" s="11" t="str">
        <f t="shared" si="2"/>
        <v>Oui</v>
      </c>
    </row>
    <row r="23" spans="1:14" x14ac:dyDescent="0.3">
      <c r="A23" s="5" t="s">
        <v>128</v>
      </c>
      <c r="B23" s="6">
        <v>46059</v>
      </c>
      <c r="C23" s="5" t="s">
        <v>20</v>
      </c>
      <c r="D23" s="5" t="s">
        <v>21</v>
      </c>
      <c r="E23" s="5" t="s">
        <v>41</v>
      </c>
      <c r="F23" s="5" t="s">
        <v>29</v>
      </c>
      <c r="G23" s="5">
        <v>2</v>
      </c>
      <c r="H23" s="7">
        <v>3500</v>
      </c>
      <c r="I23" s="7">
        <f t="shared" si="0"/>
        <v>7000</v>
      </c>
      <c r="J23" s="5" t="s">
        <v>34</v>
      </c>
      <c r="K23" s="11" t="str">
        <f t="shared" si="1"/>
        <v>février</v>
      </c>
      <c r="L23" s="11" t="str">
        <f t="shared" si="2"/>
        <v>Oui</v>
      </c>
    </row>
    <row r="24" spans="1:14" x14ac:dyDescent="0.3">
      <c r="A24" s="5" t="s">
        <v>168</v>
      </c>
      <c r="B24" s="6">
        <v>46079</v>
      </c>
      <c r="C24" s="5" t="s">
        <v>26</v>
      </c>
      <c r="D24" s="5" t="s">
        <v>38</v>
      </c>
      <c r="E24" s="5" t="s">
        <v>41</v>
      </c>
      <c r="F24" s="5" t="s">
        <v>29</v>
      </c>
      <c r="G24" s="5">
        <v>2</v>
      </c>
      <c r="H24" s="7">
        <v>3500</v>
      </c>
      <c r="I24" s="7">
        <f t="shared" si="0"/>
        <v>7000</v>
      </c>
      <c r="J24" s="5" t="s">
        <v>34</v>
      </c>
      <c r="K24" s="11" t="str">
        <f t="shared" si="1"/>
        <v>février</v>
      </c>
      <c r="L24" s="11" t="str">
        <f t="shared" si="2"/>
        <v>Oui</v>
      </c>
    </row>
    <row r="25" spans="1:14" x14ac:dyDescent="0.3">
      <c r="A25" s="5" t="s">
        <v>237</v>
      </c>
      <c r="B25" s="6">
        <v>46117</v>
      </c>
      <c r="C25" s="5" t="s">
        <v>26</v>
      </c>
      <c r="D25" s="5" t="s">
        <v>38</v>
      </c>
      <c r="E25" s="5" t="s">
        <v>41</v>
      </c>
      <c r="F25" s="5" t="s">
        <v>29</v>
      </c>
      <c r="G25" s="5">
        <v>2</v>
      </c>
      <c r="H25" s="7">
        <v>3500</v>
      </c>
      <c r="I25" s="7">
        <f t="shared" si="0"/>
        <v>7000</v>
      </c>
      <c r="J25" s="5" t="s">
        <v>30</v>
      </c>
      <c r="K25" s="11" t="str">
        <f t="shared" si="1"/>
        <v>avril</v>
      </c>
      <c r="L25" s="11" t="str">
        <f t="shared" si="2"/>
        <v>Oui</v>
      </c>
    </row>
    <row r="26" spans="1:14" x14ac:dyDescent="0.3">
      <c r="A26" s="5" t="s">
        <v>247</v>
      </c>
      <c r="B26" s="6">
        <v>46122</v>
      </c>
      <c r="C26" s="5" t="s">
        <v>20</v>
      </c>
      <c r="D26" s="5" t="s">
        <v>21</v>
      </c>
      <c r="E26" s="5" t="s">
        <v>54</v>
      </c>
      <c r="F26" s="5" t="s">
        <v>47</v>
      </c>
      <c r="G26" s="5">
        <v>10</v>
      </c>
      <c r="H26" s="7">
        <v>700</v>
      </c>
      <c r="I26" s="7">
        <f t="shared" si="0"/>
        <v>7000</v>
      </c>
      <c r="J26" s="5" t="s">
        <v>34</v>
      </c>
      <c r="K26" s="11" t="str">
        <f t="shared" si="1"/>
        <v>avril</v>
      </c>
      <c r="L26" s="11" t="str">
        <f t="shared" si="2"/>
        <v>Oui</v>
      </c>
    </row>
    <row r="27" spans="1:14" x14ac:dyDescent="0.3">
      <c r="A27" s="5" t="s">
        <v>302</v>
      </c>
      <c r="B27" s="6">
        <v>46143</v>
      </c>
      <c r="C27" s="5" t="s">
        <v>26</v>
      </c>
      <c r="D27" s="5" t="s">
        <v>27</v>
      </c>
      <c r="E27" s="5" t="s">
        <v>41</v>
      </c>
      <c r="F27" s="5" t="s">
        <v>29</v>
      </c>
      <c r="G27" s="5">
        <v>2</v>
      </c>
      <c r="H27" s="7">
        <v>3500</v>
      </c>
      <c r="I27" s="7">
        <f t="shared" si="0"/>
        <v>7000</v>
      </c>
      <c r="J27" s="5" t="s">
        <v>24</v>
      </c>
      <c r="K27" s="11" t="str">
        <f t="shared" si="1"/>
        <v>mai</v>
      </c>
      <c r="L27" s="11" t="str">
        <f t="shared" si="2"/>
        <v>Oui</v>
      </c>
    </row>
    <row r="28" spans="1:14" x14ac:dyDescent="0.3">
      <c r="A28" s="5" t="s">
        <v>364</v>
      </c>
      <c r="B28" s="6">
        <v>46172</v>
      </c>
      <c r="C28" s="5" t="s">
        <v>20</v>
      </c>
      <c r="D28" s="5" t="s">
        <v>32</v>
      </c>
      <c r="E28" s="5" t="s">
        <v>41</v>
      </c>
      <c r="F28" s="5" t="s">
        <v>29</v>
      </c>
      <c r="G28" s="5">
        <v>2</v>
      </c>
      <c r="H28" s="7">
        <v>3500</v>
      </c>
      <c r="I28" s="7">
        <f t="shared" si="0"/>
        <v>7000</v>
      </c>
      <c r="J28" s="5" t="s">
        <v>34</v>
      </c>
      <c r="K28" s="11" t="str">
        <f t="shared" si="1"/>
        <v>mai</v>
      </c>
      <c r="L28" s="11" t="str">
        <f t="shared" si="2"/>
        <v>Oui</v>
      </c>
    </row>
    <row r="29" spans="1:14" x14ac:dyDescent="0.3">
      <c r="A29" s="5" t="s">
        <v>424</v>
      </c>
      <c r="B29" s="6">
        <v>46194</v>
      </c>
      <c r="C29" s="5" t="s">
        <v>20</v>
      </c>
      <c r="D29" s="5" t="s">
        <v>21</v>
      </c>
      <c r="E29" s="5" t="s">
        <v>41</v>
      </c>
      <c r="F29" s="5" t="s">
        <v>29</v>
      </c>
      <c r="G29" s="5">
        <v>2</v>
      </c>
      <c r="H29" s="7">
        <v>3500</v>
      </c>
      <c r="I29" s="7">
        <f t="shared" si="0"/>
        <v>7000</v>
      </c>
      <c r="J29" s="5" t="s">
        <v>24</v>
      </c>
      <c r="K29" s="11" t="str">
        <f t="shared" si="1"/>
        <v>juin</v>
      </c>
      <c r="L29" s="11" t="str">
        <f t="shared" si="2"/>
        <v>Oui</v>
      </c>
    </row>
    <row r="30" spans="1:14" x14ac:dyDescent="0.3">
      <c r="A30" s="5" t="s">
        <v>447</v>
      </c>
      <c r="B30" s="6">
        <v>46202</v>
      </c>
      <c r="C30" s="5" t="s">
        <v>26</v>
      </c>
      <c r="D30" s="5" t="s">
        <v>27</v>
      </c>
      <c r="E30" s="5" t="s">
        <v>41</v>
      </c>
      <c r="F30" s="5" t="s">
        <v>29</v>
      </c>
      <c r="G30" s="5">
        <v>2</v>
      </c>
      <c r="H30" s="7">
        <v>3500</v>
      </c>
      <c r="I30" s="7">
        <f t="shared" si="0"/>
        <v>7000</v>
      </c>
      <c r="J30" s="5" t="s">
        <v>34</v>
      </c>
      <c r="K30" s="11" t="str">
        <f t="shared" si="1"/>
        <v>juin</v>
      </c>
      <c r="L30" s="11" t="str">
        <f t="shared" si="2"/>
        <v>Oui</v>
      </c>
    </row>
    <row r="31" spans="1:14" x14ac:dyDescent="0.3">
      <c r="A31" s="5" t="s">
        <v>131</v>
      </c>
      <c r="B31" s="6">
        <v>46060</v>
      </c>
      <c r="C31" s="5" t="s">
        <v>20</v>
      </c>
      <c r="D31" s="5" t="s">
        <v>32</v>
      </c>
      <c r="E31" s="5" t="s">
        <v>33</v>
      </c>
      <c r="F31" s="5" t="s">
        <v>23</v>
      </c>
      <c r="G31" s="5">
        <v>10</v>
      </c>
      <c r="H31" s="7">
        <v>600</v>
      </c>
      <c r="I31" s="7">
        <f t="shared" si="0"/>
        <v>6000</v>
      </c>
      <c r="J31" s="5" t="s">
        <v>34</v>
      </c>
      <c r="K31" s="11" t="str">
        <f t="shared" si="1"/>
        <v>février</v>
      </c>
      <c r="L31" s="11" t="str">
        <f t="shared" si="2"/>
        <v>Oui</v>
      </c>
    </row>
    <row r="32" spans="1:14" x14ac:dyDescent="0.3">
      <c r="A32" s="5" t="s">
        <v>208</v>
      </c>
      <c r="B32" s="6">
        <v>46101</v>
      </c>
      <c r="C32" s="5" t="s">
        <v>44</v>
      </c>
      <c r="D32" s="5" t="s">
        <v>62</v>
      </c>
      <c r="E32" s="5" t="s">
        <v>57</v>
      </c>
      <c r="F32" s="5" t="s">
        <v>52</v>
      </c>
      <c r="G32" s="5">
        <v>6</v>
      </c>
      <c r="H32" s="7">
        <v>1000</v>
      </c>
      <c r="I32" s="7">
        <f t="shared" si="0"/>
        <v>6000</v>
      </c>
      <c r="J32" s="5" t="s">
        <v>34</v>
      </c>
      <c r="K32" s="11" t="str">
        <f t="shared" si="1"/>
        <v>mars</v>
      </c>
      <c r="L32" s="11" t="str">
        <f t="shared" si="2"/>
        <v>Oui</v>
      </c>
    </row>
    <row r="33" spans="1:12" x14ac:dyDescent="0.3">
      <c r="A33" s="5" t="s">
        <v>236</v>
      </c>
      <c r="B33" s="6">
        <v>46117</v>
      </c>
      <c r="C33" s="5" t="s">
        <v>20</v>
      </c>
      <c r="D33" s="5" t="s">
        <v>32</v>
      </c>
      <c r="E33" s="5" t="s">
        <v>57</v>
      </c>
      <c r="F33" s="5" t="s">
        <v>52</v>
      </c>
      <c r="G33" s="5">
        <v>6</v>
      </c>
      <c r="H33" s="7">
        <v>1000</v>
      </c>
      <c r="I33" s="7">
        <f t="shared" si="0"/>
        <v>6000</v>
      </c>
      <c r="J33" s="5" t="s">
        <v>30</v>
      </c>
      <c r="K33" s="11" t="str">
        <f t="shared" si="1"/>
        <v>avril</v>
      </c>
      <c r="L33" s="11" t="str">
        <f t="shared" si="2"/>
        <v>Oui</v>
      </c>
    </row>
    <row r="34" spans="1:12" x14ac:dyDescent="0.3">
      <c r="A34" s="5" t="s">
        <v>319</v>
      </c>
      <c r="B34" s="6">
        <v>46154</v>
      </c>
      <c r="C34" s="5" t="s">
        <v>44</v>
      </c>
      <c r="D34" s="5" t="s">
        <v>45</v>
      </c>
      <c r="E34" s="5" t="s">
        <v>57</v>
      </c>
      <c r="F34" s="5" t="s">
        <v>52</v>
      </c>
      <c r="G34" s="5">
        <v>6</v>
      </c>
      <c r="H34" s="7">
        <v>1000</v>
      </c>
      <c r="I34" s="7">
        <f t="shared" si="0"/>
        <v>6000</v>
      </c>
      <c r="J34" s="5" t="s">
        <v>34</v>
      </c>
      <c r="K34" s="11" t="str">
        <f t="shared" si="1"/>
        <v>mai</v>
      </c>
      <c r="L34" s="11" t="str">
        <f t="shared" si="2"/>
        <v>Oui</v>
      </c>
    </row>
    <row r="35" spans="1:12" x14ac:dyDescent="0.3">
      <c r="A35" s="5" t="s">
        <v>344</v>
      </c>
      <c r="B35" s="6">
        <v>46164</v>
      </c>
      <c r="C35" s="5" t="s">
        <v>44</v>
      </c>
      <c r="D35" s="5" t="s">
        <v>62</v>
      </c>
      <c r="E35" s="5" t="s">
        <v>57</v>
      </c>
      <c r="F35" s="5" t="s">
        <v>52</v>
      </c>
      <c r="G35" s="5">
        <v>6</v>
      </c>
      <c r="H35" s="7">
        <v>1000</v>
      </c>
      <c r="I35" s="7">
        <f t="shared" si="0"/>
        <v>6000</v>
      </c>
      <c r="J35" s="5" t="s">
        <v>34</v>
      </c>
      <c r="K35" s="11" t="str">
        <f t="shared" si="1"/>
        <v>mai</v>
      </c>
      <c r="L35" s="11" t="str">
        <f t="shared" si="2"/>
        <v>Oui</v>
      </c>
    </row>
    <row r="36" spans="1:12" x14ac:dyDescent="0.3">
      <c r="A36" s="5" t="s">
        <v>434</v>
      </c>
      <c r="B36" s="6">
        <v>46198</v>
      </c>
      <c r="C36" s="5" t="s">
        <v>44</v>
      </c>
      <c r="D36" s="5" t="s">
        <v>45</v>
      </c>
      <c r="E36" s="5" t="s">
        <v>33</v>
      </c>
      <c r="F36" s="5" t="s">
        <v>23</v>
      </c>
      <c r="G36" s="5">
        <v>10</v>
      </c>
      <c r="H36" s="7">
        <v>600</v>
      </c>
      <c r="I36" s="7">
        <f t="shared" si="0"/>
        <v>6000</v>
      </c>
      <c r="J36" s="5" t="s">
        <v>30</v>
      </c>
      <c r="K36" s="11" t="str">
        <f t="shared" si="1"/>
        <v>juin</v>
      </c>
      <c r="L36" s="11" t="str">
        <f t="shared" si="2"/>
        <v>Oui</v>
      </c>
    </row>
    <row r="37" spans="1:12" x14ac:dyDescent="0.3">
      <c r="A37" s="5" t="s">
        <v>375</v>
      </c>
      <c r="B37" s="6">
        <v>46177</v>
      </c>
      <c r="C37" s="5" t="s">
        <v>26</v>
      </c>
      <c r="D37" s="5" t="s">
        <v>27</v>
      </c>
      <c r="E37" s="5" t="s">
        <v>73</v>
      </c>
      <c r="F37" s="5" t="s">
        <v>47</v>
      </c>
      <c r="G37" s="5">
        <v>6</v>
      </c>
      <c r="H37" s="7">
        <v>900</v>
      </c>
      <c r="I37" s="7">
        <f t="shared" si="0"/>
        <v>5400</v>
      </c>
      <c r="J37" s="5" t="s">
        <v>34</v>
      </c>
      <c r="K37" s="11" t="str">
        <f t="shared" si="1"/>
        <v>juin</v>
      </c>
      <c r="L37" s="11" t="str">
        <f t="shared" si="2"/>
        <v>Oui</v>
      </c>
    </row>
    <row r="38" spans="1:12" x14ac:dyDescent="0.3">
      <c r="A38" s="5" t="s">
        <v>58</v>
      </c>
      <c r="B38" s="6">
        <v>46033</v>
      </c>
      <c r="C38" s="5" t="s">
        <v>20</v>
      </c>
      <c r="D38" s="5" t="s">
        <v>32</v>
      </c>
      <c r="E38" s="5" t="s">
        <v>59</v>
      </c>
      <c r="F38" s="5" t="s">
        <v>29</v>
      </c>
      <c r="G38" s="5">
        <v>2</v>
      </c>
      <c r="H38" s="7">
        <v>2500</v>
      </c>
      <c r="I38" s="7">
        <f t="shared" si="0"/>
        <v>5000</v>
      </c>
      <c r="J38" s="5" t="s">
        <v>34</v>
      </c>
      <c r="K38" s="11" t="str">
        <f t="shared" si="1"/>
        <v>janvier</v>
      </c>
      <c r="L38" s="11" t="str">
        <f t="shared" si="2"/>
        <v>Non</v>
      </c>
    </row>
    <row r="39" spans="1:12" x14ac:dyDescent="0.3">
      <c r="A39" s="5" t="s">
        <v>114</v>
      </c>
      <c r="B39" s="6">
        <v>46054</v>
      </c>
      <c r="C39" s="5" t="s">
        <v>26</v>
      </c>
      <c r="D39" s="5" t="s">
        <v>27</v>
      </c>
      <c r="E39" s="5" t="s">
        <v>51</v>
      </c>
      <c r="F39" s="5" t="s">
        <v>52</v>
      </c>
      <c r="G39" s="5">
        <v>10</v>
      </c>
      <c r="H39" s="7">
        <v>500</v>
      </c>
      <c r="I39" s="7">
        <f t="shared" si="0"/>
        <v>5000</v>
      </c>
      <c r="J39" s="5" t="s">
        <v>34</v>
      </c>
      <c r="K39" s="11" t="str">
        <f t="shared" si="1"/>
        <v>février</v>
      </c>
      <c r="L39" s="11" t="str">
        <f t="shared" si="2"/>
        <v>Non</v>
      </c>
    </row>
    <row r="40" spans="1:12" x14ac:dyDescent="0.3">
      <c r="A40" s="5" t="s">
        <v>118</v>
      </c>
      <c r="B40" s="6">
        <v>46055</v>
      </c>
      <c r="C40" s="5" t="s">
        <v>20</v>
      </c>
      <c r="D40" s="5" t="s">
        <v>21</v>
      </c>
      <c r="E40" s="5" t="s">
        <v>51</v>
      </c>
      <c r="F40" s="5" t="s">
        <v>52</v>
      </c>
      <c r="G40" s="5">
        <v>10</v>
      </c>
      <c r="H40" s="7">
        <v>500</v>
      </c>
      <c r="I40" s="7">
        <f t="shared" si="0"/>
        <v>5000</v>
      </c>
      <c r="J40" s="5" t="s">
        <v>34</v>
      </c>
      <c r="K40" s="11" t="str">
        <f t="shared" si="1"/>
        <v>février</v>
      </c>
      <c r="L40" s="11" t="str">
        <f t="shared" si="2"/>
        <v>Non</v>
      </c>
    </row>
    <row r="41" spans="1:12" x14ac:dyDescent="0.3">
      <c r="A41" s="5" t="s">
        <v>139</v>
      </c>
      <c r="B41" s="6">
        <v>46063</v>
      </c>
      <c r="C41" s="5" t="s">
        <v>20</v>
      </c>
      <c r="D41" s="5" t="s">
        <v>21</v>
      </c>
      <c r="E41" s="5" t="s">
        <v>57</v>
      </c>
      <c r="F41" s="5" t="s">
        <v>52</v>
      </c>
      <c r="G41" s="5">
        <v>5</v>
      </c>
      <c r="H41" s="7">
        <v>1000</v>
      </c>
      <c r="I41" s="7">
        <f t="shared" si="0"/>
        <v>5000</v>
      </c>
      <c r="J41" s="5" t="s">
        <v>34</v>
      </c>
      <c r="K41" s="11" t="str">
        <f t="shared" si="1"/>
        <v>février</v>
      </c>
      <c r="L41" s="11" t="str">
        <f t="shared" si="2"/>
        <v>Non</v>
      </c>
    </row>
    <row r="42" spans="1:12" x14ac:dyDescent="0.3">
      <c r="A42" s="5" t="s">
        <v>144</v>
      </c>
      <c r="B42" s="6">
        <v>46065</v>
      </c>
      <c r="C42" s="5" t="s">
        <v>44</v>
      </c>
      <c r="D42" s="5" t="s">
        <v>62</v>
      </c>
      <c r="E42" s="5" t="s">
        <v>59</v>
      </c>
      <c r="F42" s="5" t="s">
        <v>29</v>
      </c>
      <c r="G42" s="5">
        <v>2</v>
      </c>
      <c r="H42" s="7">
        <v>2500</v>
      </c>
      <c r="I42" s="7">
        <f t="shared" si="0"/>
        <v>5000</v>
      </c>
      <c r="J42" s="5" t="s">
        <v>34</v>
      </c>
      <c r="K42" s="11" t="str">
        <f t="shared" si="1"/>
        <v>février</v>
      </c>
      <c r="L42" s="11" t="str">
        <f t="shared" si="2"/>
        <v>Non</v>
      </c>
    </row>
    <row r="43" spans="1:12" x14ac:dyDescent="0.3">
      <c r="A43" s="5" t="s">
        <v>155</v>
      </c>
      <c r="B43" s="6">
        <v>46070</v>
      </c>
      <c r="C43" s="5" t="s">
        <v>20</v>
      </c>
      <c r="D43" s="5" t="s">
        <v>21</v>
      </c>
      <c r="E43" s="5" t="s">
        <v>59</v>
      </c>
      <c r="F43" s="5" t="s">
        <v>29</v>
      </c>
      <c r="G43" s="5">
        <v>2</v>
      </c>
      <c r="H43" s="7">
        <v>2500</v>
      </c>
      <c r="I43" s="7">
        <f t="shared" si="0"/>
        <v>5000</v>
      </c>
      <c r="J43" s="5" t="s">
        <v>34</v>
      </c>
      <c r="K43" s="11" t="str">
        <f t="shared" si="1"/>
        <v>février</v>
      </c>
      <c r="L43" s="11" t="str">
        <f t="shared" si="2"/>
        <v>Non</v>
      </c>
    </row>
    <row r="44" spans="1:12" x14ac:dyDescent="0.3">
      <c r="A44" s="5" t="s">
        <v>211</v>
      </c>
      <c r="B44" s="6">
        <v>46103</v>
      </c>
      <c r="C44" s="5" t="s">
        <v>20</v>
      </c>
      <c r="D44" s="5" t="s">
        <v>32</v>
      </c>
      <c r="E44" s="5" t="s">
        <v>51</v>
      </c>
      <c r="F44" s="5" t="s">
        <v>52</v>
      </c>
      <c r="G44" s="5">
        <v>10</v>
      </c>
      <c r="H44" s="7">
        <v>500</v>
      </c>
      <c r="I44" s="7">
        <f t="shared" si="0"/>
        <v>5000</v>
      </c>
      <c r="J44" s="5" t="s">
        <v>34</v>
      </c>
      <c r="K44" s="11" t="str">
        <f t="shared" si="1"/>
        <v>mars</v>
      </c>
      <c r="L44" s="11" t="str">
        <f t="shared" si="2"/>
        <v>Non</v>
      </c>
    </row>
    <row r="45" spans="1:12" x14ac:dyDescent="0.3">
      <c r="A45" s="5" t="s">
        <v>218</v>
      </c>
      <c r="B45" s="6">
        <v>46108</v>
      </c>
      <c r="C45" s="5" t="s">
        <v>26</v>
      </c>
      <c r="D45" s="5" t="s">
        <v>27</v>
      </c>
      <c r="E45" s="5" t="s">
        <v>59</v>
      </c>
      <c r="F45" s="5" t="s">
        <v>29</v>
      </c>
      <c r="G45" s="5">
        <v>2</v>
      </c>
      <c r="H45" s="7">
        <v>2500</v>
      </c>
      <c r="I45" s="7">
        <f t="shared" si="0"/>
        <v>5000</v>
      </c>
      <c r="J45" s="5" t="s">
        <v>34</v>
      </c>
      <c r="K45" s="11" t="str">
        <f t="shared" si="1"/>
        <v>mars</v>
      </c>
      <c r="L45" s="11" t="str">
        <f t="shared" si="2"/>
        <v>Non</v>
      </c>
    </row>
    <row r="46" spans="1:12" x14ac:dyDescent="0.3">
      <c r="A46" s="5" t="s">
        <v>279</v>
      </c>
      <c r="B46" s="6">
        <v>46136</v>
      </c>
      <c r="C46" s="5" t="s">
        <v>26</v>
      </c>
      <c r="D46" s="5" t="s">
        <v>27</v>
      </c>
      <c r="E46" s="5" t="s">
        <v>59</v>
      </c>
      <c r="F46" s="5" t="s">
        <v>29</v>
      </c>
      <c r="G46" s="5">
        <v>2</v>
      </c>
      <c r="H46" s="7">
        <v>2500</v>
      </c>
      <c r="I46" s="7">
        <f t="shared" si="0"/>
        <v>5000</v>
      </c>
      <c r="J46" s="5" t="s">
        <v>34</v>
      </c>
      <c r="K46" s="11" t="str">
        <f t="shared" si="1"/>
        <v>avril</v>
      </c>
      <c r="L46" s="11" t="str">
        <f t="shared" si="2"/>
        <v>Non</v>
      </c>
    </row>
    <row r="47" spans="1:12" x14ac:dyDescent="0.3">
      <c r="A47" s="5" t="s">
        <v>324</v>
      </c>
      <c r="B47" s="6">
        <v>46157</v>
      </c>
      <c r="C47" s="5" t="s">
        <v>26</v>
      </c>
      <c r="D47" s="5" t="s">
        <v>27</v>
      </c>
      <c r="E47" s="5" t="s">
        <v>57</v>
      </c>
      <c r="F47" s="5" t="s">
        <v>52</v>
      </c>
      <c r="G47" s="5">
        <v>5</v>
      </c>
      <c r="H47" s="7">
        <v>1000</v>
      </c>
      <c r="I47" s="7">
        <f t="shared" si="0"/>
        <v>5000</v>
      </c>
      <c r="J47" s="5" t="s">
        <v>30</v>
      </c>
      <c r="K47" s="11" t="str">
        <f t="shared" si="1"/>
        <v>mai</v>
      </c>
      <c r="L47" s="11" t="str">
        <f t="shared" si="2"/>
        <v>Non</v>
      </c>
    </row>
    <row r="48" spans="1:12" x14ac:dyDescent="0.3">
      <c r="A48" s="5" t="s">
        <v>329</v>
      </c>
      <c r="B48" s="6">
        <v>46160</v>
      </c>
      <c r="C48" s="5" t="s">
        <v>44</v>
      </c>
      <c r="D48" s="5" t="s">
        <v>45</v>
      </c>
      <c r="E48" s="5" t="s">
        <v>59</v>
      </c>
      <c r="F48" s="5" t="s">
        <v>29</v>
      </c>
      <c r="G48" s="5">
        <v>2</v>
      </c>
      <c r="H48" s="7">
        <v>2500</v>
      </c>
      <c r="I48" s="7">
        <f t="shared" si="0"/>
        <v>5000</v>
      </c>
      <c r="J48" s="5" t="s">
        <v>34</v>
      </c>
      <c r="K48" s="11" t="str">
        <f t="shared" si="1"/>
        <v>mai</v>
      </c>
      <c r="L48" s="11" t="str">
        <f t="shared" si="2"/>
        <v>Non</v>
      </c>
    </row>
    <row r="49" spans="1:12" x14ac:dyDescent="0.3">
      <c r="A49" s="5" t="s">
        <v>361</v>
      </c>
      <c r="B49" s="6">
        <v>46171</v>
      </c>
      <c r="C49" s="5" t="s">
        <v>44</v>
      </c>
      <c r="D49" s="5" t="s">
        <v>62</v>
      </c>
      <c r="E49" s="5" t="s">
        <v>57</v>
      </c>
      <c r="F49" s="5" t="s">
        <v>52</v>
      </c>
      <c r="G49" s="5">
        <v>5</v>
      </c>
      <c r="H49" s="7">
        <v>1000</v>
      </c>
      <c r="I49" s="7">
        <f t="shared" si="0"/>
        <v>5000</v>
      </c>
      <c r="J49" s="5" t="s">
        <v>34</v>
      </c>
      <c r="K49" s="11" t="str">
        <f t="shared" si="1"/>
        <v>mai</v>
      </c>
      <c r="L49" s="11" t="str">
        <f t="shared" si="2"/>
        <v>Non</v>
      </c>
    </row>
    <row r="50" spans="1:12" x14ac:dyDescent="0.3">
      <c r="A50" s="5" t="s">
        <v>374</v>
      </c>
      <c r="B50" s="6">
        <v>46176</v>
      </c>
      <c r="C50" s="5" t="s">
        <v>26</v>
      </c>
      <c r="D50" s="5" t="s">
        <v>27</v>
      </c>
      <c r="E50" s="5" t="s">
        <v>59</v>
      </c>
      <c r="F50" s="5" t="s">
        <v>29</v>
      </c>
      <c r="G50" s="5">
        <v>2</v>
      </c>
      <c r="H50" s="7">
        <v>2500</v>
      </c>
      <c r="I50" s="7">
        <f t="shared" si="0"/>
        <v>5000</v>
      </c>
      <c r="J50" s="5" t="s">
        <v>34</v>
      </c>
      <c r="K50" s="11" t="str">
        <f t="shared" si="1"/>
        <v>juin</v>
      </c>
      <c r="L50" s="11" t="str">
        <f t="shared" si="2"/>
        <v>Non</v>
      </c>
    </row>
    <row r="51" spans="1:12" x14ac:dyDescent="0.3">
      <c r="A51" s="5" t="s">
        <v>407</v>
      </c>
      <c r="B51" s="6">
        <v>46188</v>
      </c>
      <c r="C51" s="5" t="s">
        <v>20</v>
      </c>
      <c r="D51" s="5" t="s">
        <v>21</v>
      </c>
      <c r="E51" s="5" t="s">
        <v>51</v>
      </c>
      <c r="F51" s="5" t="s">
        <v>52</v>
      </c>
      <c r="G51" s="5">
        <v>10</v>
      </c>
      <c r="H51" s="7">
        <v>500</v>
      </c>
      <c r="I51" s="7">
        <f t="shared" si="0"/>
        <v>5000</v>
      </c>
      <c r="J51" s="5" t="s">
        <v>34</v>
      </c>
      <c r="K51" s="11" t="str">
        <f t="shared" si="1"/>
        <v>juin</v>
      </c>
      <c r="L51" s="11" t="str">
        <f t="shared" si="2"/>
        <v>Non</v>
      </c>
    </row>
    <row r="52" spans="1:12" x14ac:dyDescent="0.3">
      <c r="A52" s="5" t="s">
        <v>449</v>
      </c>
      <c r="B52" s="6">
        <v>46203</v>
      </c>
      <c r="C52" s="5" t="s">
        <v>26</v>
      </c>
      <c r="D52" s="5" t="s">
        <v>38</v>
      </c>
      <c r="E52" s="5" t="s">
        <v>59</v>
      </c>
      <c r="F52" s="5" t="s">
        <v>29</v>
      </c>
      <c r="G52" s="5">
        <v>2</v>
      </c>
      <c r="H52" s="7">
        <v>2500</v>
      </c>
      <c r="I52" s="7">
        <f t="shared" si="0"/>
        <v>5000</v>
      </c>
      <c r="J52" s="5" t="s">
        <v>34</v>
      </c>
      <c r="K52" s="11" t="str">
        <f t="shared" si="1"/>
        <v>juin</v>
      </c>
      <c r="L52" s="11" t="str">
        <f t="shared" si="2"/>
        <v>Non</v>
      </c>
    </row>
    <row r="53" spans="1:12" x14ac:dyDescent="0.3">
      <c r="A53" s="5" t="s">
        <v>263</v>
      </c>
      <c r="B53" s="6">
        <v>46129</v>
      </c>
      <c r="C53" s="5" t="s">
        <v>26</v>
      </c>
      <c r="D53" s="5" t="s">
        <v>27</v>
      </c>
      <c r="E53" s="5" t="s">
        <v>36</v>
      </c>
      <c r="F53" s="5" t="s">
        <v>29</v>
      </c>
      <c r="G53" s="5">
        <v>6</v>
      </c>
      <c r="H53" s="7">
        <v>800</v>
      </c>
      <c r="I53" s="7">
        <f t="shared" si="0"/>
        <v>4800</v>
      </c>
      <c r="J53" s="5" t="s">
        <v>24</v>
      </c>
      <c r="K53" s="11" t="str">
        <f t="shared" si="1"/>
        <v>avril</v>
      </c>
      <c r="L53" s="11" t="str">
        <f t="shared" si="2"/>
        <v>Non</v>
      </c>
    </row>
    <row r="54" spans="1:12" x14ac:dyDescent="0.3">
      <c r="A54" s="5" t="s">
        <v>285</v>
      </c>
      <c r="B54" s="6">
        <v>46138</v>
      </c>
      <c r="C54" s="5" t="s">
        <v>20</v>
      </c>
      <c r="D54" s="5" t="s">
        <v>21</v>
      </c>
      <c r="E54" s="5" t="s">
        <v>36</v>
      </c>
      <c r="F54" s="5" t="s">
        <v>29</v>
      </c>
      <c r="G54" s="5">
        <v>6</v>
      </c>
      <c r="H54" s="7">
        <v>800</v>
      </c>
      <c r="I54" s="7">
        <f t="shared" si="0"/>
        <v>4800</v>
      </c>
      <c r="J54" s="5" t="s">
        <v>30</v>
      </c>
      <c r="K54" s="11" t="str">
        <f t="shared" si="1"/>
        <v>avril</v>
      </c>
      <c r="L54" s="11" t="str">
        <f t="shared" si="2"/>
        <v>Non</v>
      </c>
    </row>
    <row r="55" spans="1:12" x14ac:dyDescent="0.3">
      <c r="A55" s="5" t="s">
        <v>181</v>
      </c>
      <c r="B55" s="6">
        <v>46089</v>
      </c>
      <c r="C55" s="5" t="s">
        <v>44</v>
      </c>
      <c r="D55" s="5" t="s">
        <v>62</v>
      </c>
      <c r="E55" s="5" t="s">
        <v>39</v>
      </c>
      <c r="F55" s="5" t="s">
        <v>29</v>
      </c>
      <c r="G55" s="5">
        <v>10</v>
      </c>
      <c r="H55" s="7">
        <v>450</v>
      </c>
      <c r="I55" s="7">
        <f t="shared" si="0"/>
        <v>4500</v>
      </c>
      <c r="J55" s="5" t="s">
        <v>34</v>
      </c>
      <c r="K55" s="11" t="str">
        <f t="shared" si="1"/>
        <v>mars</v>
      </c>
      <c r="L55" s="11" t="str">
        <f t="shared" si="2"/>
        <v>Non</v>
      </c>
    </row>
    <row r="56" spans="1:12" x14ac:dyDescent="0.3">
      <c r="A56" s="5" t="s">
        <v>209</v>
      </c>
      <c r="B56" s="6">
        <v>46101</v>
      </c>
      <c r="C56" s="5" t="s">
        <v>20</v>
      </c>
      <c r="D56" s="5" t="s">
        <v>32</v>
      </c>
      <c r="E56" s="5" t="s">
        <v>87</v>
      </c>
      <c r="F56" s="5" t="s">
        <v>29</v>
      </c>
      <c r="G56" s="5">
        <v>3</v>
      </c>
      <c r="H56" s="7">
        <v>1500</v>
      </c>
      <c r="I56" s="7">
        <f t="shared" si="0"/>
        <v>4500</v>
      </c>
      <c r="J56" s="5" t="s">
        <v>34</v>
      </c>
      <c r="K56" s="11" t="str">
        <f t="shared" si="1"/>
        <v>mars</v>
      </c>
      <c r="L56" s="11" t="str">
        <f t="shared" si="2"/>
        <v>Non</v>
      </c>
    </row>
    <row r="57" spans="1:12" x14ac:dyDescent="0.3">
      <c r="A57" s="5" t="s">
        <v>261</v>
      </c>
      <c r="B57" s="6">
        <v>46128</v>
      </c>
      <c r="C57" s="5" t="s">
        <v>26</v>
      </c>
      <c r="D57" s="5" t="s">
        <v>38</v>
      </c>
      <c r="E57" s="5" t="s">
        <v>73</v>
      </c>
      <c r="F57" s="5" t="s">
        <v>47</v>
      </c>
      <c r="G57" s="5">
        <v>5</v>
      </c>
      <c r="H57" s="7">
        <v>900</v>
      </c>
      <c r="I57" s="7">
        <f t="shared" si="0"/>
        <v>4500</v>
      </c>
      <c r="J57" s="5" t="s">
        <v>30</v>
      </c>
      <c r="K57" s="11" t="str">
        <f t="shared" si="1"/>
        <v>avril</v>
      </c>
      <c r="L57" s="11" t="str">
        <f t="shared" si="2"/>
        <v>Non</v>
      </c>
    </row>
    <row r="58" spans="1:12" x14ac:dyDescent="0.3">
      <c r="A58" s="5" t="s">
        <v>288</v>
      </c>
      <c r="B58" s="6">
        <v>46139</v>
      </c>
      <c r="C58" s="5" t="s">
        <v>44</v>
      </c>
      <c r="D58" s="5" t="s">
        <v>62</v>
      </c>
      <c r="E58" s="5" t="s">
        <v>87</v>
      </c>
      <c r="F58" s="5" t="s">
        <v>29</v>
      </c>
      <c r="G58" s="5">
        <v>3</v>
      </c>
      <c r="H58" s="7">
        <v>1500</v>
      </c>
      <c r="I58" s="7">
        <f t="shared" si="0"/>
        <v>4500</v>
      </c>
      <c r="J58" s="5" t="s">
        <v>34</v>
      </c>
      <c r="K58" s="11" t="str">
        <f t="shared" si="1"/>
        <v>avril</v>
      </c>
      <c r="L58" s="11" t="str">
        <f t="shared" si="2"/>
        <v>Non</v>
      </c>
    </row>
    <row r="59" spans="1:12" x14ac:dyDescent="0.3">
      <c r="A59" s="5" t="s">
        <v>335</v>
      </c>
      <c r="B59" s="6">
        <v>46161</v>
      </c>
      <c r="C59" s="5" t="s">
        <v>20</v>
      </c>
      <c r="D59" s="5" t="s">
        <v>32</v>
      </c>
      <c r="E59" s="5" t="s">
        <v>87</v>
      </c>
      <c r="F59" s="5" t="s">
        <v>29</v>
      </c>
      <c r="G59" s="5">
        <v>3</v>
      </c>
      <c r="H59" s="7">
        <v>1500</v>
      </c>
      <c r="I59" s="7">
        <f t="shared" si="0"/>
        <v>4500</v>
      </c>
      <c r="J59" s="5" t="s">
        <v>24</v>
      </c>
      <c r="K59" s="11" t="str">
        <f t="shared" si="1"/>
        <v>mai</v>
      </c>
      <c r="L59" s="11" t="str">
        <f t="shared" si="2"/>
        <v>Non</v>
      </c>
    </row>
    <row r="60" spans="1:12" x14ac:dyDescent="0.3">
      <c r="A60" s="5" t="s">
        <v>353</v>
      </c>
      <c r="B60" s="6">
        <v>46168</v>
      </c>
      <c r="C60" s="5" t="s">
        <v>26</v>
      </c>
      <c r="D60" s="5" t="s">
        <v>27</v>
      </c>
      <c r="E60" s="5" t="s">
        <v>73</v>
      </c>
      <c r="F60" s="5" t="s">
        <v>47</v>
      </c>
      <c r="G60" s="5">
        <v>5</v>
      </c>
      <c r="H60" s="7">
        <v>900</v>
      </c>
      <c r="I60" s="7">
        <f t="shared" si="0"/>
        <v>4500</v>
      </c>
      <c r="J60" s="5" t="s">
        <v>30</v>
      </c>
      <c r="K60" s="11" t="str">
        <f t="shared" si="1"/>
        <v>mai</v>
      </c>
      <c r="L60" s="11" t="str">
        <f t="shared" si="2"/>
        <v>Non</v>
      </c>
    </row>
    <row r="61" spans="1:12" x14ac:dyDescent="0.3">
      <c r="A61" s="5" t="s">
        <v>401</v>
      </c>
      <c r="B61" s="6">
        <v>46187</v>
      </c>
      <c r="C61" s="5" t="s">
        <v>26</v>
      </c>
      <c r="D61" s="5" t="s">
        <v>38</v>
      </c>
      <c r="E61" s="5" t="s">
        <v>73</v>
      </c>
      <c r="F61" s="5" t="s">
        <v>47</v>
      </c>
      <c r="G61" s="5">
        <v>5</v>
      </c>
      <c r="H61" s="7">
        <v>900</v>
      </c>
      <c r="I61" s="7">
        <f t="shared" si="0"/>
        <v>4500</v>
      </c>
      <c r="J61" s="5" t="s">
        <v>30</v>
      </c>
      <c r="K61" s="11" t="str">
        <f t="shared" si="1"/>
        <v>juin</v>
      </c>
      <c r="L61" s="11" t="str">
        <f t="shared" si="2"/>
        <v>Non</v>
      </c>
    </row>
    <row r="62" spans="1:12" x14ac:dyDescent="0.3">
      <c r="A62" s="5" t="s">
        <v>441</v>
      </c>
      <c r="B62" s="6">
        <v>46200</v>
      </c>
      <c r="C62" s="5" t="s">
        <v>44</v>
      </c>
      <c r="D62" s="5" t="s">
        <v>45</v>
      </c>
      <c r="E62" s="5" t="s">
        <v>73</v>
      </c>
      <c r="F62" s="5" t="s">
        <v>47</v>
      </c>
      <c r="G62" s="5">
        <v>5</v>
      </c>
      <c r="H62" s="7">
        <v>900</v>
      </c>
      <c r="I62" s="7">
        <f t="shared" si="0"/>
        <v>4500</v>
      </c>
      <c r="J62" s="5" t="s">
        <v>34</v>
      </c>
      <c r="K62" s="11" t="str">
        <f t="shared" si="1"/>
        <v>juin</v>
      </c>
      <c r="L62" s="11" t="str">
        <f t="shared" si="2"/>
        <v>Non</v>
      </c>
    </row>
    <row r="63" spans="1:12" x14ac:dyDescent="0.3">
      <c r="A63" s="5" t="s">
        <v>107</v>
      </c>
      <c r="B63" s="6">
        <v>46051</v>
      </c>
      <c r="C63" s="5" t="s">
        <v>20</v>
      </c>
      <c r="D63" s="5" t="s">
        <v>32</v>
      </c>
      <c r="E63" s="5" t="s">
        <v>54</v>
      </c>
      <c r="F63" s="5" t="s">
        <v>47</v>
      </c>
      <c r="G63" s="5">
        <v>6</v>
      </c>
      <c r="H63" s="7">
        <v>700</v>
      </c>
      <c r="I63" s="7">
        <f t="shared" si="0"/>
        <v>4200</v>
      </c>
      <c r="J63" s="5" t="s">
        <v>34</v>
      </c>
      <c r="K63" s="11" t="str">
        <f t="shared" si="1"/>
        <v>janvier</v>
      </c>
      <c r="L63" s="11" t="str">
        <f t="shared" si="2"/>
        <v>Non</v>
      </c>
    </row>
    <row r="64" spans="1:12" x14ac:dyDescent="0.3">
      <c r="A64" s="5" t="s">
        <v>109</v>
      </c>
      <c r="B64" s="6">
        <v>46052</v>
      </c>
      <c r="C64" s="5" t="s">
        <v>20</v>
      </c>
      <c r="D64" s="5" t="s">
        <v>32</v>
      </c>
      <c r="E64" s="5" t="s">
        <v>54</v>
      </c>
      <c r="F64" s="5" t="s">
        <v>47</v>
      </c>
      <c r="G64" s="5">
        <v>6</v>
      </c>
      <c r="H64" s="7">
        <v>700</v>
      </c>
      <c r="I64" s="7">
        <f t="shared" si="0"/>
        <v>4200</v>
      </c>
      <c r="J64" s="5" t="s">
        <v>34</v>
      </c>
      <c r="K64" s="11" t="str">
        <f t="shared" si="1"/>
        <v>janvier</v>
      </c>
      <c r="L64" s="11" t="str">
        <f t="shared" si="2"/>
        <v>Non</v>
      </c>
    </row>
    <row r="65" spans="1:12" x14ac:dyDescent="0.3">
      <c r="A65" s="5" t="s">
        <v>123</v>
      </c>
      <c r="B65" s="6">
        <v>46058</v>
      </c>
      <c r="C65" s="5" t="s">
        <v>44</v>
      </c>
      <c r="D65" s="5" t="s">
        <v>45</v>
      </c>
      <c r="E65" s="5" t="s">
        <v>54</v>
      </c>
      <c r="F65" s="5" t="s">
        <v>47</v>
      </c>
      <c r="G65" s="5">
        <v>6</v>
      </c>
      <c r="H65" s="7">
        <v>700</v>
      </c>
      <c r="I65" s="7">
        <f t="shared" si="0"/>
        <v>4200</v>
      </c>
      <c r="J65" s="5" t="s">
        <v>34</v>
      </c>
      <c r="K65" s="11" t="str">
        <f t="shared" si="1"/>
        <v>février</v>
      </c>
      <c r="L65" s="11" t="str">
        <f t="shared" si="2"/>
        <v>Non</v>
      </c>
    </row>
    <row r="66" spans="1:12" x14ac:dyDescent="0.3">
      <c r="A66" s="5" t="s">
        <v>195</v>
      </c>
      <c r="B66" s="6">
        <v>46094</v>
      </c>
      <c r="C66" s="5" t="s">
        <v>20</v>
      </c>
      <c r="D66" s="5" t="s">
        <v>21</v>
      </c>
      <c r="E66" s="5" t="s">
        <v>54</v>
      </c>
      <c r="F66" s="5" t="s">
        <v>47</v>
      </c>
      <c r="G66" s="5">
        <v>6</v>
      </c>
      <c r="H66" s="7">
        <v>700</v>
      </c>
      <c r="I66" s="7">
        <f t="shared" ref="I66:I129" si="3">G66*H66</f>
        <v>4200</v>
      </c>
      <c r="J66" s="5" t="s">
        <v>34</v>
      </c>
      <c r="K66" s="11" t="str">
        <f t="shared" si="1"/>
        <v>mars</v>
      </c>
      <c r="L66" s="11" t="str">
        <f t="shared" si="2"/>
        <v>Non</v>
      </c>
    </row>
    <row r="67" spans="1:12" x14ac:dyDescent="0.3">
      <c r="A67" s="5" t="s">
        <v>380</v>
      </c>
      <c r="B67" s="6">
        <v>46179</v>
      </c>
      <c r="C67" s="5" t="s">
        <v>44</v>
      </c>
      <c r="D67" s="5" t="s">
        <v>45</v>
      </c>
      <c r="E67" s="5" t="s">
        <v>54</v>
      </c>
      <c r="F67" s="5" t="s">
        <v>47</v>
      </c>
      <c r="G67" s="5">
        <v>6</v>
      </c>
      <c r="H67" s="7">
        <v>700</v>
      </c>
      <c r="I67" s="7">
        <f t="shared" si="3"/>
        <v>4200</v>
      </c>
      <c r="J67" s="5" t="s">
        <v>34</v>
      </c>
      <c r="K67" s="11" t="str">
        <f t="shared" ref="K67:K130" si="4">TEXT(B67,"mmmm")</f>
        <v>juin</v>
      </c>
      <c r="L67" s="11" t="str">
        <f t="shared" ref="L67:L130" si="5">IF(I67&gt;5000,"Oui","Non")</f>
        <v>Non</v>
      </c>
    </row>
    <row r="68" spans="1:12" x14ac:dyDescent="0.3">
      <c r="A68" s="5" t="s">
        <v>98</v>
      </c>
      <c r="B68" s="6">
        <v>46049</v>
      </c>
      <c r="C68" s="5" t="s">
        <v>44</v>
      </c>
      <c r="D68" s="5" t="s">
        <v>45</v>
      </c>
      <c r="E68" s="5" t="s">
        <v>36</v>
      </c>
      <c r="F68" s="5" t="s">
        <v>29</v>
      </c>
      <c r="G68" s="5">
        <v>5</v>
      </c>
      <c r="H68" s="7">
        <v>800</v>
      </c>
      <c r="I68" s="7">
        <f t="shared" si="3"/>
        <v>4000</v>
      </c>
      <c r="J68" s="5" t="s">
        <v>34</v>
      </c>
      <c r="K68" s="11" t="str">
        <f t="shared" si="4"/>
        <v>janvier</v>
      </c>
      <c r="L68" s="11" t="str">
        <f t="shared" si="5"/>
        <v>Non</v>
      </c>
    </row>
    <row r="69" spans="1:12" x14ac:dyDescent="0.3">
      <c r="A69" s="5" t="s">
        <v>214</v>
      </c>
      <c r="B69" s="6">
        <v>46108</v>
      </c>
      <c r="C69" s="5" t="s">
        <v>26</v>
      </c>
      <c r="D69" s="5" t="s">
        <v>38</v>
      </c>
      <c r="E69" s="5" t="s">
        <v>36</v>
      </c>
      <c r="F69" s="5" t="s">
        <v>29</v>
      </c>
      <c r="G69" s="5">
        <v>5</v>
      </c>
      <c r="H69" s="7">
        <v>800</v>
      </c>
      <c r="I69" s="7">
        <f t="shared" si="3"/>
        <v>4000</v>
      </c>
      <c r="J69" s="5" t="s">
        <v>34</v>
      </c>
      <c r="K69" s="11" t="str">
        <f t="shared" si="4"/>
        <v>mars</v>
      </c>
      <c r="L69" s="11" t="str">
        <f t="shared" si="5"/>
        <v>Non</v>
      </c>
    </row>
    <row r="70" spans="1:12" x14ac:dyDescent="0.3">
      <c r="A70" s="5" t="s">
        <v>278</v>
      </c>
      <c r="B70" s="6">
        <v>46136</v>
      </c>
      <c r="C70" s="5" t="s">
        <v>20</v>
      </c>
      <c r="D70" s="5" t="s">
        <v>21</v>
      </c>
      <c r="E70" s="5" t="s">
        <v>28</v>
      </c>
      <c r="F70" s="5" t="s">
        <v>29</v>
      </c>
      <c r="G70" s="5">
        <v>10</v>
      </c>
      <c r="H70" s="7">
        <v>400</v>
      </c>
      <c r="I70" s="7">
        <f t="shared" si="3"/>
        <v>4000</v>
      </c>
      <c r="J70" s="5" t="s">
        <v>30</v>
      </c>
      <c r="K70" s="11" t="str">
        <f t="shared" si="4"/>
        <v>avril</v>
      </c>
      <c r="L70" s="11" t="str">
        <f t="shared" si="5"/>
        <v>Non</v>
      </c>
    </row>
    <row r="71" spans="1:12" x14ac:dyDescent="0.3">
      <c r="A71" s="5" t="s">
        <v>303</v>
      </c>
      <c r="B71" s="6">
        <v>46144</v>
      </c>
      <c r="C71" s="5" t="s">
        <v>44</v>
      </c>
      <c r="D71" s="5" t="s">
        <v>45</v>
      </c>
      <c r="E71" s="5" t="s">
        <v>57</v>
      </c>
      <c r="F71" s="5" t="s">
        <v>52</v>
      </c>
      <c r="G71" s="5">
        <v>4</v>
      </c>
      <c r="H71" s="7">
        <v>1000</v>
      </c>
      <c r="I71" s="7">
        <f t="shared" si="3"/>
        <v>4000</v>
      </c>
      <c r="J71" s="5" t="s">
        <v>24</v>
      </c>
      <c r="K71" s="11" t="str">
        <f t="shared" si="4"/>
        <v>mai</v>
      </c>
      <c r="L71" s="11" t="str">
        <f t="shared" si="5"/>
        <v>Non</v>
      </c>
    </row>
    <row r="72" spans="1:12" x14ac:dyDescent="0.3">
      <c r="A72" s="5" t="s">
        <v>342</v>
      </c>
      <c r="B72" s="6">
        <v>46164</v>
      </c>
      <c r="C72" s="5" t="s">
        <v>26</v>
      </c>
      <c r="D72" s="5" t="s">
        <v>38</v>
      </c>
      <c r="E72" s="5" t="s">
        <v>28</v>
      </c>
      <c r="F72" s="5" t="s">
        <v>29</v>
      </c>
      <c r="G72" s="5">
        <v>10</v>
      </c>
      <c r="H72" s="7">
        <v>400</v>
      </c>
      <c r="I72" s="7">
        <f t="shared" si="3"/>
        <v>4000</v>
      </c>
      <c r="J72" s="5" t="s">
        <v>34</v>
      </c>
      <c r="K72" s="11" t="str">
        <f t="shared" si="4"/>
        <v>mai</v>
      </c>
      <c r="L72" s="11" t="str">
        <f t="shared" si="5"/>
        <v>Non</v>
      </c>
    </row>
    <row r="73" spans="1:12" x14ac:dyDescent="0.3">
      <c r="A73" s="5" t="s">
        <v>357</v>
      </c>
      <c r="B73" s="6">
        <v>46170</v>
      </c>
      <c r="C73" s="5" t="s">
        <v>26</v>
      </c>
      <c r="D73" s="5" t="s">
        <v>38</v>
      </c>
      <c r="E73" s="5" t="s">
        <v>57</v>
      </c>
      <c r="F73" s="5" t="s">
        <v>52</v>
      </c>
      <c r="G73" s="5">
        <v>4</v>
      </c>
      <c r="H73" s="7">
        <v>1000</v>
      </c>
      <c r="I73" s="7">
        <f t="shared" si="3"/>
        <v>4000</v>
      </c>
      <c r="J73" s="5" t="s">
        <v>34</v>
      </c>
      <c r="K73" s="11" t="str">
        <f t="shared" si="4"/>
        <v>mai</v>
      </c>
      <c r="L73" s="11" t="str">
        <f t="shared" si="5"/>
        <v>Non</v>
      </c>
    </row>
    <row r="74" spans="1:12" x14ac:dyDescent="0.3">
      <c r="A74" s="5" t="s">
        <v>388</v>
      </c>
      <c r="B74" s="6">
        <v>46182</v>
      </c>
      <c r="C74" s="5" t="s">
        <v>26</v>
      </c>
      <c r="D74" s="5" t="s">
        <v>27</v>
      </c>
      <c r="E74" s="5" t="s">
        <v>36</v>
      </c>
      <c r="F74" s="5" t="s">
        <v>29</v>
      </c>
      <c r="G74" s="5">
        <v>5</v>
      </c>
      <c r="H74" s="7">
        <v>800</v>
      </c>
      <c r="I74" s="7">
        <f t="shared" si="3"/>
        <v>4000</v>
      </c>
      <c r="J74" s="5" t="s">
        <v>30</v>
      </c>
      <c r="K74" s="11" t="str">
        <f t="shared" si="4"/>
        <v>juin</v>
      </c>
      <c r="L74" s="11" t="str">
        <f t="shared" si="5"/>
        <v>Non</v>
      </c>
    </row>
    <row r="75" spans="1:12" x14ac:dyDescent="0.3">
      <c r="A75" s="5" t="s">
        <v>423</v>
      </c>
      <c r="B75" s="6">
        <v>46193</v>
      </c>
      <c r="C75" s="5" t="s">
        <v>20</v>
      </c>
      <c r="D75" s="5" t="s">
        <v>32</v>
      </c>
      <c r="E75" s="5" t="s">
        <v>28</v>
      </c>
      <c r="F75" s="5" t="s">
        <v>29</v>
      </c>
      <c r="G75" s="5">
        <v>10</v>
      </c>
      <c r="H75" s="7">
        <v>400</v>
      </c>
      <c r="I75" s="7">
        <f t="shared" si="3"/>
        <v>4000</v>
      </c>
      <c r="J75" s="5" t="s">
        <v>34</v>
      </c>
      <c r="K75" s="11" t="str">
        <f t="shared" si="4"/>
        <v>juin</v>
      </c>
      <c r="L75" s="11" t="str">
        <f t="shared" si="5"/>
        <v>Non</v>
      </c>
    </row>
    <row r="76" spans="1:12" x14ac:dyDescent="0.3">
      <c r="A76" s="5" t="s">
        <v>430</v>
      </c>
      <c r="B76" s="6">
        <v>46196</v>
      </c>
      <c r="C76" s="5" t="s">
        <v>20</v>
      </c>
      <c r="D76" s="5" t="s">
        <v>21</v>
      </c>
      <c r="E76" s="5" t="s">
        <v>28</v>
      </c>
      <c r="F76" s="5" t="s">
        <v>29</v>
      </c>
      <c r="G76" s="5">
        <v>10</v>
      </c>
      <c r="H76" s="7">
        <v>400</v>
      </c>
      <c r="I76" s="7">
        <f t="shared" si="3"/>
        <v>4000</v>
      </c>
      <c r="J76" s="5" t="s">
        <v>24</v>
      </c>
      <c r="K76" s="11" t="str">
        <f t="shared" si="4"/>
        <v>juin</v>
      </c>
      <c r="L76" s="11" t="str">
        <f t="shared" si="5"/>
        <v>Non</v>
      </c>
    </row>
    <row r="77" spans="1:12" x14ac:dyDescent="0.3">
      <c r="A77" s="5" t="s">
        <v>81</v>
      </c>
      <c r="B77" s="6">
        <v>46042</v>
      </c>
      <c r="C77" s="5" t="s">
        <v>26</v>
      </c>
      <c r="D77" s="5" t="s">
        <v>27</v>
      </c>
      <c r="E77" s="5" t="s">
        <v>66</v>
      </c>
      <c r="F77" s="5" t="s">
        <v>23</v>
      </c>
      <c r="G77" s="5">
        <v>3</v>
      </c>
      <c r="H77" s="7">
        <v>1200</v>
      </c>
      <c r="I77" s="7">
        <f t="shared" si="3"/>
        <v>3600</v>
      </c>
      <c r="J77" s="5" t="s">
        <v>30</v>
      </c>
      <c r="K77" s="11" t="str">
        <f t="shared" si="4"/>
        <v>janvier</v>
      </c>
      <c r="L77" s="11" t="str">
        <f t="shared" si="5"/>
        <v>Non</v>
      </c>
    </row>
    <row r="78" spans="1:12" x14ac:dyDescent="0.3">
      <c r="A78" s="5" t="s">
        <v>158</v>
      </c>
      <c r="B78" s="6">
        <v>46071</v>
      </c>
      <c r="C78" s="5" t="s">
        <v>26</v>
      </c>
      <c r="D78" s="5" t="s">
        <v>27</v>
      </c>
      <c r="E78" s="5" t="s">
        <v>73</v>
      </c>
      <c r="F78" s="5" t="s">
        <v>47</v>
      </c>
      <c r="G78" s="5">
        <v>4</v>
      </c>
      <c r="H78" s="7">
        <v>900</v>
      </c>
      <c r="I78" s="7">
        <f t="shared" si="3"/>
        <v>3600</v>
      </c>
      <c r="J78" s="5" t="s">
        <v>34</v>
      </c>
      <c r="K78" s="11" t="str">
        <f t="shared" si="4"/>
        <v>février</v>
      </c>
      <c r="L78" s="11" t="str">
        <f t="shared" si="5"/>
        <v>Non</v>
      </c>
    </row>
    <row r="79" spans="1:12" x14ac:dyDescent="0.3">
      <c r="A79" s="5" t="s">
        <v>166</v>
      </c>
      <c r="B79" s="6">
        <v>46077</v>
      </c>
      <c r="C79" s="5" t="s">
        <v>26</v>
      </c>
      <c r="D79" s="5" t="s">
        <v>38</v>
      </c>
      <c r="E79" s="5" t="s">
        <v>33</v>
      </c>
      <c r="F79" s="5" t="s">
        <v>23</v>
      </c>
      <c r="G79" s="5">
        <v>6</v>
      </c>
      <c r="H79" s="7">
        <v>600</v>
      </c>
      <c r="I79" s="7">
        <f t="shared" si="3"/>
        <v>3600</v>
      </c>
      <c r="J79" s="5" t="s">
        <v>30</v>
      </c>
      <c r="K79" s="11" t="str">
        <f t="shared" si="4"/>
        <v>février</v>
      </c>
      <c r="L79" s="11" t="str">
        <f t="shared" si="5"/>
        <v>Non</v>
      </c>
    </row>
    <row r="80" spans="1:12" x14ac:dyDescent="0.3">
      <c r="A80" s="5" t="s">
        <v>187</v>
      </c>
      <c r="B80" s="6">
        <v>46090</v>
      </c>
      <c r="C80" s="5" t="s">
        <v>44</v>
      </c>
      <c r="D80" s="5" t="s">
        <v>62</v>
      </c>
      <c r="E80" s="5" t="s">
        <v>66</v>
      </c>
      <c r="F80" s="5" t="s">
        <v>23</v>
      </c>
      <c r="G80" s="5">
        <v>3</v>
      </c>
      <c r="H80" s="7">
        <v>1200</v>
      </c>
      <c r="I80" s="7">
        <f t="shared" si="3"/>
        <v>3600</v>
      </c>
      <c r="J80" s="5" t="s">
        <v>24</v>
      </c>
      <c r="K80" s="11" t="str">
        <f t="shared" si="4"/>
        <v>mars</v>
      </c>
      <c r="L80" s="11" t="str">
        <f t="shared" si="5"/>
        <v>Non</v>
      </c>
    </row>
    <row r="81" spans="1:12" x14ac:dyDescent="0.3">
      <c r="A81" s="5" t="s">
        <v>282</v>
      </c>
      <c r="B81" s="6">
        <v>46137</v>
      </c>
      <c r="C81" s="5" t="s">
        <v>44</v>
      </c>
      <c r="D81" s="5" t="s">
        <v>62</v>
      </c>
      <c r="E81" s="5" t="s">
        <v>66</v>
      </c>
      <c r="F81" s="5" t="s">
        <v>23</v>
      </c>
      <c r="G81" s="5">
        <v>3</v>
      </c>
      <c r="H81" s="7">
        <v>1200</v>
      </c>
      <c r="I81" s="7">
        <f t="shared" si="3"/>
        <v>3600</v>
      </c>
      <c r="J81" s="5" t="s">
        <v>34</v>
      </c>
      <c r="K81" s="11" t="str">
        <f t="shared" si="4"/>
        <v>avril</v>
      </c>
      <c r="L81" s="11" t="str">
        <f t="shared" si="5"/>
        <v>Non</v>
      </c>
    </row>
    <row r="82" spans="1:12" x14ac:dyDescent="0.3">
      <c r="A82" s="5" t="s">
        <v>314</v>
      </c>
      <c r="B82" s="6">
        <v>46150</v>
      </c>
      <c r="C82" s="5" t="s">
        <v>44</v>
      </c>
      <c r="D82" s="5" t="s">
        <v>62</v>
      </c>
      <c r="E82" s="5" t="s">
        <v>33</v>
      </c>
      <c r="F82" s="5" t="s">
        <v>23</v>
      </c>
      <c r="G82" s="5">
        <v>6</v>
      </c>
      <c r="H82" s="7">
        <v>600</v>
      </c>
      <c r="I82" s="7">
        <f t="shared" si="3"/>
        <v>3600</v>
      </c>
      <c r="J82" s="5" t="s">
        <v>34</v>
      </c>
      <c r="K82" s="11" t="str">
        <f t="shared" si="4"/>
        <v>mai</v>
      </c>
      <c r="L82" s="11" t="str">
        <f t="shared" si="5"/>
        <v>Non</v>
      </c>
    </row>
    <row r="83" spans="1:12" x14ac:dyDescent="0.3">
      <c r="A83" s="5" t="s">
        <v>359</v>
      </c>
      <c r="B83" s="6">
        <v>46170</v>
      </c>
      <c r="C83" s="5" t="s">
        <v>20</v>
      </c>
      <c r="D83" s="5" t="s">
        <v>21</v>
      </c>
      <c r="E83" s="5" t="s">
        <v>73</v>
      </c>
      <c r="F83" s="5" t="s">
        <v>47</v>
      </c>
      <c r="G83" s="5">
        <v>4</v>
      </c>
      <c r="H83" s="7">
        <v>900</v>
      </c>
      <c r="I83" s="7">
        <f t="shared" si="3"/>
        <v>3600</v>
      </c>
      <c r="J83" s="5" t="s">
        <v>34</v>
      </c>
      <c r="K83" s="11" t="str">
        <f t="shared" si="4"/>
        <v>mai</v>
      </c>
      <c r="L83" s="11" t="str">
        <f t="shared" si="5"/>
        <v>Non</v>
      </c>
    </row>
    <row r="84" spans="1:12" x14ac:dyDescent="0.3">
      <c r="A84" s="5" t="s">
        <v>379</v>
      </c>
      <c r="B84" s="6">
        <v>46178</v>
      </c>
      <c r="C84" s="5" t="s">
        <v>26</v>
      </c>
      <c r="D84" s="5" t="s">
        <v>38</v>
      </c>
      <c r="E84" s="5" t="s">
        <v>66</v>
      </c>
      <c r="F84" s="5" t="s">
        <v>23</v>
      </c>
      <c r="G84" s="5">
        <v>3</v>
      </c>
      <c r="H84" s="7">
        <v>1200</v>
      </c>
      <c r="I84" s="7">
        <f t="shared" si="3"/>
        <v>3600</v>
      </c>
      <c r="J84" s="5" t="s">
        <v>34</v>
      </c>
      <c r="K84" s="11" t="str">
        <f t="shared" si="4"/>
        <v>juin</v>
      </c>
      <c r="L84" s="11" t="str">
        <f t="shared" si="5"/>
        <v>Non</v>
      </c>
    </row>
    <row r="85" spans="1:12" x14ac:dyDescent="0.3">
      <c r="A85" s="5" t="s">
        <v>40</v>
      </c>
      <c r="B85" s="6">
        <v>46027</v>
      </c>
      <c r="C85" s="5" t="s">
        <v>26</v>
      </c>
      <c r="D85" s="5" t="s">
        <v>38</v>
      </c>
      <c r="E85" s="5" t="s">
        <v>41</v>
      </c>
      <c r="F85" s="5" t="s">
        <v>29</v>
      </c>
      <c r="G85" s="5">
        <v>1</v>
      </c>
      <c r="H85" s="7">
        <v>3500</v>
      </c>
      <c r="I85" s="7">
        <f t="shared" si="3"/>
        <v>3500</v>
      </c>
      <c r="J85" s="5" t="s">
        <v>30</v>
      </c>
      <c r="K85" s="11" t="str">
        <f t="shared" si="4"/>
        <v>janvier</v>
      </c>
      <c r="L85" s="11" t="str">
        <f t="shared" si="5"/>
        <v>Non</v>
      </c>
    </row>
    <row r="86" spans="1:12" x14ac:dyDescent="0.3">
      <c r="A86" s="5" t="s">
        <v>84</v>
      </c>
      <c r="B86" s="6">
        <v>46044</v>
      </c>
      <c r="C86" s="5" t="s">
        <v>44</v>
      </c>
      <c r="D86" s="5" t="s">
        <v>45</v>
      </c>
      <c r="E86" s="5" t="s">
        <v>41</v>
      </c>
      <c r="F86" s="5" t="s">
        <v>29</v>
      </c>
      <c r="G86" s="5">
        <v>1</v>
      </c>
      <c r="H86" s="7">
        <v>3500</v>
      </c>
      <c r="I86" s="7">
        <f t="shared" si="3"/>
        <v>3500</v>
      </c>
      <c r="J86" s="5" t="s">
        <v>30</v>
      </c>
      <c r="K86" s="11" t="str">
        <f t="shared" si="4"/>
        <v>janvier</v>
      </c>
      <c r="L86" s="11" t="str">
        <f t="shared" si="5"/>
        <v>Non</v>
      </c>
    </row>
    <row r="87" spans="1:12" x14ac:dyDescent="0.3">
      <c r="A87" s="5" t="s">
        <v>101</v>
      </c>
      <c r="B87" s="6">
        <v>46050</v>
      </c>
      <c r="C87" s="5" t="s">
        <v>20</v>
      </c>
      <c r="D87" s="5" t="s">
        <v>21</v>
      </c>
      <c r="E87" s="5" t="s">
        <v>54</v>
      </c>
      <c r="F87" s="5" t="s">
        <v>47</v>
      </c>
      <c r="G87" s="5">
        <v>5</v>
      </c>
      <c r="H87" s="7">
        <v>700</v>
      </c>
      <c r="I87" s="7">
        <f t="shared" si="3"/>
        <v>3500</v>
      </c>
      <c r="J87" s="5" t="s">
        <v>30</v>
      </c>
      <c r="K87" s="11" t="str">
        <f t="shared" si="4"/>
        <v>janvier</v>
      </c>
      <c r="L87" s="11" t="str">
        <f t="shared" si="5"/>
        <v>Non</v>
      </c>
    </row>
    <row r="88" spans="1:12" x14ac:dyDescent="0.3">
      <c r="A88" s="5" t="s">
        <v>122</v>
      </c>
      <c r="B88" s="6">
        <v>46057</v>
      </c>
      <c r="C88" s="5" t="s">
        <v>26</v>
      </c>
      <c r="D88" s="5" t="s">
        <v>38</v>
      </c>
      <c r="E88" s="5" t="s">
        <v>41</v>
      </c>
      <c r="F88" s="5" t="s">
        <v>29</v>
      </c>
      <c r="G88" s="5">
        <v>1</v>
      </c>
      <c r="H88" s="7">
        <v>3500</v>
      </c>
      <c r="I88" s="7">
        <f t="shared" si="3"/>
        <v>3500</v>
      </c>
      <c r="J88" s="5" t="s">
        <v>34</v>
      </c>
      <c r="K88" s="11" t="str">
        <f t="shared" si="4"/>
        <v>février</v>
      </c>
      <c r="L88" s="11" t="str">
        <f t="shared" si="5"/>
        <v>Non</v>
      </c>
    </row>
    <row r="89" spans="1:12" x14ac:dyDescent="0.3">
      <c r="A89" s="5" t="s">
        <v>125</v>
      </c>
      <c r="B89" s="6">
        <v>46058</v>
      </c>
      <c r="C89" s="5" t="s">
        <v>20</v>
      </c>
      <c r="D89" s="5" t="s">
        <v>32</v>
      </c>
      <c r="E89" s="5" t="s">
        <v>54</v>
      </c>
      <c r="F89" s="5" t="s">
        <v>47</v>
      </c>
      <c r="G89" s="5">
        <v>5</v>
      </c>
      <c r="H89" s="7">
        <v>700</v>
      </c>
      <c r="I89" s="7">
        <f t="shared" si="3"/>
        <v>3500</v>
      </c>
      <c r="J89" s="5" t="s">
        <v>24</v>
      </c>
      <c r="K89" s="11" t="str">
        <f t="shared" si="4"/>
        <v>février</v>
      </c>
      <c r="L89" s="11" t="str">
        <f t="shared" si="5"/>
        <v>Non</v>
      </c>
    </row>
    <row r="90" spans="1:12" x14ac:dyDescent="0.3">
      <c r="A90" s="5" t="s">
        <v>129</v>
      </c>
      <c r="B90" s="6">
        <v>46059</v>
      </c>
      <c r="C90" s="5" t="s">
        <v>44</v>
      </c>
      <c r="D90" s="5" t="s">
        <v>62</v>
      </c>
      <c r="E90" s="5" t="s">
        <v>41</v>
      </c>
      <c r="F90" s="5" t="s">
        <v>29</v>
      </c>
      <c r="G90" s="5">
        <v>1</v>
      </c>
      <c r="H90" s="7">
        <v>3500</v>
      </c>
      <c r="I90" s="7">
        <f t="shared" si="3"/>
        <v>3500</v>
      </c>
      <c r="J90" s="5" t="s">
        <v>34</v>
      </c>
      <c r="K90" s="11" t="str">
        <f t="shared" si="4"/>
        <v>février</v>
      </c>
      <c r="L90" s="11" t="str">
        <f t="shared" si="5"/>
        <v>Non</v>
      </c>
    </row>
    <row r="91" spans="1:12" x14ac:dyDescent="0.3">
      <c r="A91" s="5" t="s">
        <v>130</v>
      </c>
      <c r="B91" s="6">
        <v>46060</v>
      </c>
      <c r="C91" s="5" t="s">
        <v>20</v>
      </c>
      <c r="D91" s="5" t="s">
        <v>32</v>
      </c>
      <c r="E91" s="5" t="s">
        <v>41</v>
      </c>
      <c r="F91" s="5" t="s">
        <v>29</v>
      </c>
      <c r="G91" s="5">
        <v>1</v>
      </c>
      <c r="H91" s="7">
        <v>3500</v>
      </c>
      <c r="I91" s="7">
        <f t="shared" si="3"/>
        <v>3500</v>
      </c>
      <c r="J91" s="5" t="s">
        <v>34</v>
      </c>
      <c r="K91" s="11" t="str">
        <f t="shared" si="4"/>
        <v>février</v>
      </c>
      <c r="L91" s="11" t="str">
        <f t="shared" si="5"/>
        <v>Non</v>
      </c>
    </row>
    <row r="92" spans="1:12" x14ac:dyDescent="0.3">
      <c r="A92" s="5" t="s">
        <v>171</v>
      </c>
      <c r="B92" s="6">
        <v>46080</v>
      </c>
      <c r="C92" s="5" t="s">
        <v>26</v>
      </c>
      <c r="D92" s="5" t="s">
        <v>27</v>
      </c>
      <c r="E92" s="5" t="s">
        <v>41</v>
      </c>
      <c r="F92" s="5" t="s">
        <v>29</v>
      </c>
      <c r="G92" s="5">
        <v>1</v>
      </c>
      <c r="H92" s="7">
        <v>3500</v>
      </c>
      <c r="I92" s="7">
        <f t="shared" si="3"/>
        <v>3500</v>
      </c>
      <c r="J92" s="5" t="s">
        <v>34</v>
      </c>
      <c r="K92" s="11" t="str">
        <f t="shared" si="4"/>
        <v>février</v>
      </c>
      <c r="L92" s="11" t="str">
        <f t="shared" si="5"/>
        <v>Non</v>
      </c>
    </row>
    <row r="93" spans="1:12" x14ac:dyDescent="0.3">
      <c r="A93" s="5" t="s">
        <v>176</v>
      </c>
      <c r="B93" s="6">
        <v>46084</v>
      </c>
      <c r="C93" s="5" t="s">
        <v>44</v>
      </c>
      <c r="D93" s="5" t="s">
        <v>62</v>
      </c>
      <c r="E93" s="5" t="s">
        <v>54</v>
      </c>
      <c r="F93" s="5" t="s">
        <v>47</v>
      </c>
      <c r="G93" s="5">
        <v>5</v>
      </c>
      <c r="H93" s="7">
        <v>700</v>
      </c>
      <c r="I93" s="7">
        <f t="shared" si="3"/>
        <v>3500</v>
      </c>
      <c r="J93" s="5" t="s">
        <v>34</v>
      </c>
      <c r="K93" s="11" t="str">
        <f t="shared" si="4"/>
        <v>mars</v>
      </c>
      <c r="L93" s="11" t="str">
        <f t="shared" si="5"/>
        <v>Non</v>
      </c>
    </row>
    <row r="94" spans="1:12" x14ac:dyDescent="0.3">
      <c r="A94" s="5" t="s">
        <v>178</v>
      </c>
      <c r="B94" s="6">
        <v>46086</v>
      </c>
      <c r="C94" s="5" t="s">
        <v>26</v>
      </c>
      <c r="D94" s="5" t="s">
        <v>27</v>
      </c>
      <c r="E94" s="5" t="s">
        <v>41</v>
      </c>
      <c r="F94" s="5" t="s">
        <v>29</v>
      </c>
      <c r="G94" s="5">
        <v>1</v>
      </c>
      <c r="H94" s="7">
        <v>3500</v>
      </c>
      <c r="I94" s="7">
        <f t="shared" si="3"/>
        <v>3500</v>
      </c>
      <c r="J94" s="5" t="s">
        <v>24</v>
      </c>
      <c r="K94" s="11" t="str">
        <f t="shared" si="4"/>
        <v>mars</v>
      </c>
      <c r="L94" s="11" t="str">
        <f t="shared" si="5"/>
        <v>Non</v>
      </c>
    </row>
    <row r="95" spans="1:12" x14ac:dyDescent="0.3">
      <c r="A95" s="5" t="s">
        <v>250</v>
      </c>
      <c r="B95" s="6">
        <v>46124</v>
      </c>
      <c r="C95" s="5" t="s">
        <v>44</v>
      </c>
      <c r="D95" s="5" t="s">
        <v>45</v>
      </c>
      <c r="E95" s="5" t="s">
        <v>41</v>
      </c>
      <c r="F95" s="5" t="s">
        <v>29</v>
      </c>
      <c r="G95" s="5">
        <v>1</v>
      </c>
      <c r="H95" s="7">
        <v>3500</v>
      </c>
      <c r="I95" s="7">
        <f t="shared" si="3"/>
        <v>3500</v>
      </c>
      <c r="J95" s="5" t="s">
        <v>34</v>
      </c>
      <c r="K95" s="11" t="str">
        <f t="shared" si="4"/>
        <v>avril</v>
      </c>
      <c r="L95" s="11" t="str">
        <f t="shared" si="5"/>
        <v>Non</v>
      </c>
    </row>
    <row r="96" spans="1:12" x14ac:dyDescent="0.3">
      <c r="A96" s="5" t="s">
        <v>318</v>
      </c>
      <c r="B96" s="6">
        <v>46153</v>
      </c>
      <c r="C96" s="5" t="s">
        <v>20</v>
      </c>
      <c r="D96" s="5" t="s">
        <v>32</v>
      </c>
      <c r="E96" s="5" t="s">
        <v>41</v>
      </c>
      <c r="F96" s="5" t="s">
        <v>29</v>
      </c>
      <c r="G96" s="5">
        <v>1</v>
      </c>
      <c r="H96" s="7">
        <v>3500</v>
      </c>
      <c r="I96" s="7">
        <f t="shared" si="3"/>
        <v>3500</v>
      </c>
      <c r="J96" s="5" t="s">
        <v>34</v>
      </c>
      <c r="K96" s="11" t="str">
        <f t="shared" si="4"/>
        <v>mai</v>
      </c>
      <c r="L96" s="11" t="str">
        <f t="shared" si="5"/>
        <v>Non</v>
      </c>
    </row>
    <row r="97" spans="1:12" x14ac:dyDescent="0.3">
      <c r="A97" s="5" t="s">
        <v>326</v>
      </c>
      <c r="B97" s="6">
        <v>46158</v>
      </c>
      <c r="C97" s="5" t="s">
        <v>26</v>
      </c>
      <c r="D97" s="5" t="s">
        <v>27</v>
      </c>
      <c r="E97" s="5" t="s">
        <v>41</v>
      </c>
      <c r="F97" s="5" t="s">
        <v>29</v>
      </c>
      <c r="G97" s="5">
        <v>1</v>
      </c>
      <c r="H97" s="7">
        <v>3500</v>
      </c>
      <c r="I97" s="7">
        <f t="shared" si="3"/>
        <v>3500</v>
      </c>
      <c r="J97" s="5" t="s">
        <v>34</v>
      </c>
      <c r="K97" s="11" t="str">
        <f t="shared" si="4"/>
        <v>mai</v>
      </c>
      <c r="L97" s="11" t="str">
        <f t="shared" si="5"/>
        <v>Non</v>
      </c>
    </row>
    <row r="98" spans="1:12" x14ac:dyDescent="0.3">
      <c r="A98" s="5" t="s">
        <v>327</v>
      </c>
      <c r="B98" s="6">
        <v>46159</v>
      </c>
      <c r="C98" s="5" t="s">
        <v>26</v>
      </c>
      <c r="D98" s="5" t="s">
        <v>27</v>
      </c>
      <c r="E98" s="5" t="s">
        <v>54</v>
      </c>
      <c r="F98" s="5" t="s">
        <v>47</v>
      </c>
      <c r="G98" s="5">
        <v>5</v>
      </c>
      <c r="H98" s="7">
        <v>700</v>
      </c>
      <c r="I98" s="7">
        <f t="shared" si="3"/>
        <v>3500</v>
      </c>
      <c r="J98" s="5" t="s">
        <v>24</v>
      </c>
      <c r="K98" s="11" t="str">
        <f t="shared" si="4"/>
        <v>mai</v>
      </c>
      <c r="L98" s="11" t="str">
        <f t="shared" si="5"/>
        <v>Non</v>
      </c>
    </row>
    <row r="99" spans="1:12" x14ac:dyDescent="0.3">
      <c r="A99" s="5" t="s">
        <v>334</v>
      </c>
      <c r="B99" s="6">
        <v>46161</v>
      </c>
      <c r="C99" s="5" t="s">
        <v>20</v>
      </c>
      <c r="D99" s="5" t="s">
        <v>21</v>
      </c>
      <c r="E99" s="5" t="s">
        <v>41</v>
      </c>
      <c r="F99" s="5" t="s">
        <v>29</v>
      </c>
      <c r="G99" s="5">
        <v>1</v>
      </c>
      <c r="H99" s="7">
        <v>3500</v>
      </c>
      <c r="I99" s="7">
        <f t="shared" si="3"/>
        <v>3500</v>
      </c>
      <c r="J99" s="5" t="s">
        <v>30</v>
      </c>
      <c r="K99" s="11" t="str">
        <f t="shared" si="4"/>
        <v>mai</v>
      </c>
      <c r="L99" s="11" t="str">
        <f t="shared" si="5"/>
        <v>Non</v>
      </c>
    </row>
    <row r="100" spans="1:12" x14ac:dyDescent="0.3">
      <c r="A100" s="5" t="s">
        <v>35</v>
      </c>
      <c r="B100" s="6">
        <v>46026</v>
      </c>
      <c r="C100" s="5" t="s">
        <v>26</v>
      </c>
      <c r="D100" s="5" t="s">
        <v>27</v>
      </c>
      <c r="E100" s="5" t="s">
        <v>36</v>
      </c>
      <c r="F100" s="5" t="s">
        <v>29</v>
      </c>
      <c r="G100" s="5">
        <v>4</v>
      </c>
      <c r="H100" s="7">
        <v>800</v>
      </c>
      <c r="I100" s="7">
        <f t="shared" si="3"/>
        <v>3200</v>
      </c>
      <c r="J100" s="5" t="s">
        <v>34</v>
      </c>
      <c r="K100" s="11" t="str">
        <f t="shared" si="4"/>
        <v>janvier</v>
      </c>
      <c r="L100" s="11" t="str">
        <f t="shared" si="5"/>
        <v>Non</v>
      </c>
    </row>
    <row r="101" spans="1:12" x14ac:dyDescent="0.3">
      <c r="A101" s="5" t="s">
        <v>126</v>
      </c>
      <c r="B101" s="6">
        <v>46058</v>
      </c>
      <c r="C101" s="5" t="s">
        <v>20</v>
      </c>
      <c r="D101" s="5" t="s">
        <v>21</v>
      </c>
      <c r="E101" s="5" t="s">
        <v>36</v>
      </c>
      <c r="F101" s="5" t="s">
        <v>29</v>
      </c>
      <c r="G101" s="5">
        <v>4</v>
      </c>
      <c r="H101" s="7">
        <v>800</v>
      </c>
      <c r="I101" s="7">
        <f t="shared" si="3"/>
        <v>3200</v>
      </c>
      <c r="J101" s="5" t="s">
        <v>24</v>
      </c>
      <c r="K101" s="11" t="str">
        <f t="shared" si="4"/>
        <v>février</v>
      </c>
      <c r="L101" s="11" t="str">
        <f t="shared" si="5"/>
        <v>Non</v>
      </c>
    </row>
    <row r="102" spans="1:12" x14ac:dyDescent="0.3">
      <c r="A102" s="5" t="s">
        <v>163</v>
      </c>
      <c r="B102" s="6">
        <v>46077</v>
      </c>
      <c r="C102" s="5" t="s">
        <v>20</v>
      </c>
      <c r="D102" s="5" t="s">
        <v>32</v>
      </c>
      <c r="E102" s="5" t="s">
        <v>36</v>
      </c>
      <c r="F102" s="5" t="s">
        <v>29</v>
      </c>
      <c r="G102" s="5">
        <v>4</v>
      </c>
      <c r="H102" s="7">
        <v>800</v>
      </c>
      <c r="I102" s="7">
        <f t="shared" si="3"/>
        <v>3200</v>
      </c>
      <c r="J102" s="5" t="s">
        <v>34</v>
      </c>
      <c r="K102" s="11" t="str">
        <f t="shared" si="4"/>
        <v>février</v>
      </c>
      <c r="L102" s="11" t="str">
        <f t="shared" si="5"/>
        <v>Non</v>
      </c>
    </row>
    <row r="103" spans="1:12" x14ac:dyDescent="0.3">
      <c r="A103" s="5" t="s">
        <v>86</v>
      </c>
      <c r="B103" s="6">
        <v>46044</v>
      </c>
      <c r="C103" s="5" t="s">
        <v>44</v>
      </c>
      <c r="D103" s="5" t="s">
        <v>62</v>
      </c>
      <c r="E103" s="5" t="s">
        <v>87</v>
      </c>
      <c r="F103" s="5" t="s">
        <v>29</v>
      </c>
      <c r="G103" s="5">
        <v>2</v>
      </c>
      <c r="H103" s="7">
        <v>1500</v>
      </c>
      <c r="I103" s="7">
        <f t="shared" si="3"/>
        <v>3000</v>
      </c>
      <c r="J103" s="5" t="s">
        <v>30</v>
      </c>
      <c r="K103" s="11" t="str">
        <f t="shared" si="4"/>
        <v>janvier</v>
      </c>
      <c r="L103" s="11" t="str">
        <f t="shared" si="5"/>
        <v>Non</v>
      </c>
    </row>
    <row r="104" spans="1:12" x14ac:dyDescent="0.3">
      <c r="A104" s="5" t="s">
        <v>94</v>
      </c>
      <c r="B104" s="6">
        <v>46046</v>
      </c>
      <c r="C104" s="5" t="s">
        <v>44</v>
      </c>
      <c r="D104" s="5" t="s">
        <v>45</v>
      </c>
      <c r="E104" s="5" t="s">
        <v>46</v>
      </c>
      <c r="F104" s="5" t="s">
        <v>47</v>
      </c>
      <c r="G104" s="5">
        <v>10</v>
      </c>
      <c r="H104" s="7">
        <v>300</v>
      </c>
      <c r="I104" s="7">
        <f t="shared" si="3"/>
        <v>3000</v>
      </c>
      <c r="J104" s="5" t="s">
        <v>34</v>
      </c>
      <c r="K104" s="11" t="str">
        <f t="shared" si="4"/>
        <v>janvier</v>
      </c>
      <c r="L104" s="11" t="str">
        <f t="shared" si="5"/>
        <v>Non</v>
      </c>
    </row>
    <row r="105" spans="1:12" x14ac:dyDescent="0.3">
      <c r="A105" s="5" t="s">
        <v>117</v>
      </c>
      <c r="B105" s="6">
        <v>46055</v>
      </c>
      <c r="C105" s="5" t="s">
        <v>44</v>
      </c>
      <c r="D105" s="5" t="s">
        <v>45</v>
      </c>
      <c r="E105" s="5" t="s">
        <v>87</v>
      </c>
      <c r="F105" s="5" t="s">
        <v>29</v>
      </c>
      <c r="G105" s="5">
        <v>2</v>
      </c>
      <c r="H105" s="7">
        <v>1500</v>
      </c>
      <c r="I105" s="7">
        <f t="shared" si="3"/>
        <v>3000</v>
      </c>
      <c r="J105" s="5" t="s">
        <v>34</v>
      </c>
      <c r="K105" s="11" t="str">
        <f t="shared" si="4"/>
        <v>février</v>
      </c>
      <c r="L105" s="11" t="str">
        <f t="shared" si="5"/>
        <v>Non</v>
      </c>
    </row>
    <row r="106" spans="1:12" x14ac:dyDescent="0.3">
      <c r="A106" s="5" t="s">
        <v>133</v>
      </c>
      <c r="B106" s="6">
        <v>46061</v>
      </c>
      <c r="C106" s="5" t="s">
        <v>20</v>
      </c>
      <c r="D106" s="5" t="s">
        <v>32</v>
      </c>
      <c r="E106" s="5" t="s">
        <v>51</v>
      </c>
      <c r="F106" s="5" t="s">
        <v>52</v>
      </c>
      <c r="G106" s="5">
        <v>6</v>
      </c>
      <c r="H106" s="7">
        <v>500</v>
      </c>
      <c r="I106" s="7">
        <f t="shared" si="3"/>
        <v>3000</v>
      </c>
      <c r="J106" s="5" t="s">
        <v>30</v>
      </c>
      <c r="K106" s="11" t="str">
        <f t="shared" si="4"/>
        <v>février</v>
      </c>
      <c r="L106" s="11" t="str">
        <f t="shared" si="5"/>
        <v>Non</v>
      </c>
    </row>
    <row r="107" spans="1:12" x14ac:dyDescent="0.3">
      <c r="A107" s="5" t="s">
        <v>134</v>
      </c>
      <c r="B107" s="6">
        <v>46062</v>
      </c>
      <c r="C107" s="5" t="s">
        <v>44</v>
      </c>
      <c r="D107" s="5" t="s">
        <v>45</v>
      </c>
      <c r="E107" s="5" t="s">
        <v>87</v>
      </c>
      <c r="F107" s="5" t="s">
        <v>29</v>
      </c>
      <c r="G107" s="5">
        <v>2</v>
      </c>
      <c r="H107" s="7">
        <v>1500</v>
      </c>
      <c r="I107" s="7">
        <f t="shared" si="3"/>
        <v>3000</v>
      </c>
      <c r="J107" s="5" t="s">
        <v>34</v>
      </c>
      <c r="K107" s="11" t="str">
        <f t="shared" si="4"/>
        <v>février</v>
      </c>
      <c r="L107" s="11" t="str">
        <f t="shared" si="5"/>
        <v>Non</v>
      </c>
    </row>
    <row r="108" spans="1:12" x14ac:dyDescent="0.3">
      <c r="A108" s="5" t="s">
        <v>160</v>
      </c>
      <c r="B108" s="6">
        <v>46072</v>
      </c>
      <c r="C108" s="5" t="s">
        <v>20</v>
      </c>
      <c r="D108" s="5" t="s">
        <v>21</v>
      </c>
      <c r="E108" s="5" t="s">
        <v>87</v>
      </c>
      <c r="F108" s="5" t="s">
        <v>29</v>
      </c>
      <c r="G108" s="5">
        <v>2</v>
      </c>
      <c r="H108" s="7">
        <v>1500</v>
      </c>
      <c r="I108" s="7">
        <f t="shared" si="3"/>
        <v>3000</v>
      </c>
      <c r="J108" s="5" t="s">
        <v>34</v>
      </c>
      <c r="K108" s="11" t="str">
        <f t="shared" si="4"/>
        <v>février</v>
      </c>
      <c r="L108" s="11" t="str">
        <f t="shared" si="5"/>
        <v>Non</v>
      </c>
    </row>
    <row r="109" spans="1:12" x14ac:dyDescent="0.3">
      <c r="A109" s="5" t="s">
        <v>169</v>
      </c>
      <c r="B109" s="6">
        <v>46079</v>
      </c>
      <c r="C109" s="5" t="s">
        <v>20</v>
      </c>
      <c r="D109" s="5" t="s">
        <v>32</v>
      </c>
      <c r="E109" s="5" t="s">
        <v>87</v>
      </c>
      <c r="F109" s="5" t="s">
        <v>29</v>
      </c>
      <c r="G109" s="5">
        <v>2</v>
      </c>
      <c r="H109" s="7">
        <v>1500</v>
      </c>
      <c r="I109" s="7">
        <f t="shared" si="3"/>
        <v>3000</v>
      </c>
      <c r="J109" s="5" t="s">
        <v>30</v>
      </c>
      <c r="K109" s="11" t="str">
        <f t="shared" si="4"/>
        <v>février</v>
      </c>
      <c r="L109" s="11" t="str">
        <f t="shared" si="5"/>
        <v>Non</v>
      </c>
    </row>
    <row r="110" spans="1:12" x14ac:dyDescent="0.3">
      <c r="A110" s="5" t="s">
        <v>205</v>
      </c>
      <c r="B110" s="6">
        <v>46100</v>
      </c>
      <c r="C110" s="5" t="s">
        <v>26</v>
      </c>
      <c r="D110" s="5" t="s">
        <v>27</v>
      </c>
      <c r="E110" s="5" t="s">
        <v>87</v>
      </c>
      <c r="F110" s="5" t="s">
        <v>29</v>
      </c>
      <c r="G110" s="5">
        <v>2</v>
      </c>
      <c r="H110" s="7">
        <v>1500</v>
      </c>
      <c r="I110" s="7">
        <f t="shared" si="3"/>
        <v>3000</v>
      </c>
      <c r="J110" s="5" t="s">
        <v>30</v>
      </c>
      <c r="K110" s="11" t="str">
        <f t="shared" si="4"/>
        <v>mars</v>
      </c>
      <c r="L110" s="11" t="str">
        <f t="shared" si="5"/>
        <v>Non</v>
      </c>
    </row>
    <row r="111" spans="1:12" x14ac:dyDescent="0.3">
      <c r="A111" s="5" t="s">
        <v>240</v>
      </c>
      <c r="B111" s="6">
        <v>46119</v>
      </c>
      <c r="C111" s="5" t="s">
        <v>20</v>
      </c>
      <c r="D111" s="5" t="s">
        <v>32</v>
      </c>
      <c r="E111" s="5" t="s">
        <v>87</v>
      </c>
      <c r="F111" s="5" t="s">
        <v>29</v>
      </c>
      <c r="G111" s="5">
        <v>2</v>
      </c>
      <c r="H111" s="7">
        <v>1500</v>
      </c>
      <c r="I111" s="7">
        <f t="shared" si="3"/>
        <v>3000</v>
      </c>
      <c r="J111" s="5" t="s">
        <v>30</v>
      </c>
      <c r="K111" s="11" t="str">
        <f t="shared" si="4"/>
        <v>avril</v>
      </c>
      <c r="L111" s="11" t="str">
        <f t="shared" si="5"/>
        <v>Non</v>
      </c>
    </row>
    <row r="112" spans="1:12" x14ac:dyDescent="0.3">
      <c r="A112" s="5" t="s">
        <v>241</v>
      </c>
      <c r="B112" s="6">
        <v>46120</v>
      </c>
      <c r="C112" s="5" t="s">
        <v>44</v>
      </c>
      <c r="D112" s="5" t="s">
        <v>45</v>
      </c>
      <c r="E112" s="5" t="s">
        <v>46</v>
      </c>
      <c r="F112" s="5" t="s">
        <v>47</v>
      </c>
      <c r="G112" s="5">
        <v>10</v>
      </c>
      <c r="H112" s="7">
        <v>300</v>
      </c>
      <c r="I112" s="7">
        <f t="shared" si="3"/>
        <v>3000</v>
      </c>
      <c r="J112" s="5" t="s">
        <v>34</v>
      </c>
      <c r="K112" s="11" t="str">
        <f t="shared" si="4"/>
        <v>avril</v>
      </c>
      <c r="L112" s="11" t="str">
        <f t="shared" si="5"/>
        <v>Non</v>
      </c>
    </row>
    <row r="113" spans="1:12" x14ac:dyDescent="0.3">
      <c r="A113" s="5" t="s">
        <v>249</v>
      </c>
      <c r="B113" s="6">
        <v>46124</v>
      </c>
      <c r="C113" s="5" t="s">
        <v>44</v>
      </c>
      <c r="D113" s="5" t="s">
        <v>62</v>
      </c>
      <c r="E113" s="5" t="s">
        <v>87</v>
      </c>
      <c r="F113" s="5" t="s">
        <v>29</v>
      </c>
      <c r="G113" s="5">
        <v>2</v>
      </c>
      <c r="H113" s="7">
        <v>1500</v>
      </c>
      <c r="I113" s="7">
        <f t="shared" si="3"/>
        <v>3000</v>
      </c>
      <c r="J113" s="5" t="s">
        <v>34</v>
      </c>
      <c r="K113" s="11" t="str">
        <f t="shared" si="4"/>
        <v>avril</v>
      </c>
      <c r="L113" s="11" t="str">
        <f t="shared" si="5"/>
        <v>Non</v>
      </c>
    </row>
    <row r="114" spans="1:12" x14ac:dyDescent="0.3">
      <c r="A114" s="5" t="s">
        <v>257</v>
      </c>
      <c r="B114" s="6">
        <v>46126</v>
      </c>
      <c r="C114" s="5" t="s">
        <v>20</v>
      </c>
      <c r="D114" s="5" t="s">
        <v>21</v>
      </c>
      <c r="E114" s="5" t="s">
        <v>87</v>
      </c>
      <c r="F114" s="5" t="s">
        <v>29</v>
      </c>
      <c r="G114" s="5">
        <v>2</v>
      </c>
      <c r="H114" s="7">
        <v>1500</v>
      </c>
      <c r="I114" s="7">
        <f t="shared" si="3"/>
        <v>3000</v>
      </c>
      <c r="J114" s="5" t="s">
        <v>30</v>
      </c>
      <c r="K114" s="11" t="str">
        <f t="shared" si="4"/>
        <v>avril</v>
      </c>
      <c r="L114" s="11" t="str">
        <f t="shared" si="5"/>
        <v>Non</v>
      </c>
    </row>
    <row r="115" spans="1:12" x14ac:dyDescent="0.3">
      <c r="A115" s="5" t="s">
        <v>296</v>
      </c>
      <c r="B115" s="6">
        <v>46142</v>
      </c>
      <c r="C115" s="5" t="s">
        <v>20</v>
      </c>
      <c r="D115" s="5" t="s">
        <v>32</v>
      </c>
      <c r="E115" s="5" t="s">
        <v>87</v>
      </c>
      <c r="F115" s="5" t="s">
        <v>29</v>
      </c>
      <c r="G115" s="5">
        <v>2</v>
      </c>
      <c r="H115" s="7">
        <v>1500</v>
      </c>
      <c r="I115" s="7">
        <f t="shared" si="3"/>
        <v>3000</v>
      </c>
      <c r="J115" s="5" t="s">
        <v>24</v>
      </c>
      <c r="K115" s="11" t="str">
        <f t="shared" si="4"/>
        <v>avril</v>
      </c>
      <c r="L115" s="11" t="str">
        <f t="shared" si="5"/>
        <v>Non</v>
      </c>
    </row>
    <row r="116" spans="1:12" x14ac:dyDescent="0.3">
      <c r="A116" s="5" t="s">
        <v>328</v>
      </c>
      <c r="B116" s="6">
        <v>46160</v>
      </c>
      <c r="C116" s="5" t="s">
        <v>26</v>
      </c>
      <c r="D116" s="5" t="s">
        <v>38</v>
      </c>
      <c r="E116" s="5" t="s">
        <v>87</v>
      </c>
      <c r="F116" s="5" t="s">
        <v>29</v>
      </c>
      <c r="G116" s="5">
        <v>2</v>
      </c>
      <c r="H116" s="7">
        <v>1500</v>
      </c>
      <c r="I116" s="7">
        <f t="shared" si="3"/>
        <v>3000</v>
      </c>
      <c r="J116" s="5" t="s">
        <v>34</v>
      </c>
      <c r="K116" s="11" t="str">
        <f t="shared" si="4"/>
        <v>mai</v>
      </c>
      <c r="L116" s="11" t="str">
        <f t="shared" si="5"/>
        <v>Non</v>
      </c>
    </row>
    <row r="117" spans="1:12" x14ac:dyDescent="0.3">
      <c r="A117" s="5" t="s">
        <v>331</v>
      </c>
      <c r="B117" s="6">
        <v>46160</v>
      </c>
      <c r="C117" s="5" t="s">
        <v>26</v>
      </c>
      <c r="D117" s="5" t="s">
        <v>38</v>
      </c>
      <c r="E117" s="5" t="s">
        <v>57</v>
      </c>
      <c r="F117" s="5" t="s">
        <v>52</v>
      </c>
      <c r="G117" s="5">
        <v>3</v>
      </c>
      <c r="H117" s="7">
        <v>1000</v>
      </c>
      <c r="I117" s="7">
        <f t="shared" si="3"/>
        <v>3000</v>
      </c>
      <c r="J117" s="5" t="s">
        <v>30</v>
      </c>
      <c r="K117" s="11" t="str">
        <f t="shared" si="4"/>
        <v>mai</v>
      </c>
      <c r="L117" s="11" t="str">
        <f t="shared" si="5"/>
        <v>Non</v>
      </c>
    </row>
    <row r="118" spans="1:12" x14ac:dyDescent="0.3">
      <c r="A118" s="5" t="s">
        <v>366</v>
      </c>
      <c r="B118" s="6">
        <v>46172</v>
      </c>
      <c r="C118" s="5" t="s">
        <v>20</v>
      </c>
      <c r="D118" s="5" t="s">
        <v>21</v>
      </c>
      <c r="E118" s="5" t="s">
        <v>87</v>
      </c>
      <c r="F118" s="5" t="s">
        <v>29</v>
      </c>
      <c r="G118" s="5">
        <v>2</v>
      </c>
      <c r="H118" s="7">
        <v>1500</v>
      </c>
      <c r="I118" s="7">
        <f t="shared" si="3"/>
        <v>3000</v>
      </c>
      <c r="J118" s="5" t="s">
        <v>34</v>
      </c>
      <c r="K118" s="11" t="str">
        <f t="shared" si="4"/>
        <v>mai</v>
      </c>
      <c r="L118" s="11" t="str">
        <f t="shared" si="5"/>
        <v>Non</v>
      </c>
    </row>
    <row r="119" spans="1:12" x14ac:dyDescent="0.3">
      <c r="A119" s="5" t="s">
        <v>386</v>
      </c>
      <c r="B119" s="6">
        <v>46182</v>
      </c>
      <c r="C119" s="5" t="s">
        <v>44</v>
      </c>
      <c r="D119" s="5" t="s">
        <v>45</v>
      </c>
      <c r="E119" s="5" t="s">
        <v>87</v>
      </c>
      <c r="F119" s="5" t="s">
        <v>29</v>
      </c>
      <c r="G119" s="5">
        <v>2</v>
      </c>
      <c r="H119" s="7">
        <v>1500</v>
      </c>
      <c r="I119" s="7">
        <f t="shared" si="3"/>
        <v>3000</v>
      </c>
      <c r="J119" s="5" t="s">
        <v>34</v>
      </c>
      <c r="K119" s="11" t="str">
        <f t="shared" si="4"/>
        <v>juin</v>
      </c>
      <c r="L119" s="11" t="str">
        <f t="shared" si="5"/>
        <v>Non</v>
      </c>
    </row>
    <row r="120" spans="1:12" x14ac:dyDescent="0.3">
      <c r="A120" s="5" t="s">
        <v>448</v>
      </c>
      <c r="B120" s="6">
        <v>46203</v>
      </c>
      <c r="C120" s="5" t="s">
        <v>26</v>
      </c>
      <c r="D120" s="5" t="s">
        <v>38</v>
      </c>
      <c r="E120" s="5" t="s">
        <v>87</v>
      </c>
      <c r="F120" s="5" t="s">
        <v>29</v>
      </c>
      <c r="G120" s="5">
        <v>2</v>
      </c>
      <c r="H120" s="7">
        <v>1500</v>
      </c>
      <c r="I120" s="7">
        <f t="shared" si="3"/>
        <v>3000</v>
      </c>
      <c r="J120" s="5" t="s">
        <v>24</v>
      </c>
      <c r="K120" s="11" t="str">
        <f t="shared" si="4"/>
        <v>juin</v>
      </c>
      <c r="L120" s="11" t="str">
        <f t="shared" si="5"/>
        <v>Non</v>
      </c>
    </row>
    <row r="121" spans="1:12" x14ac:dyDescent="0.3">
      <c r="A121" s="5" t="s">
        <v>157</v>
      </c>
      <c r="B121" s="6">
        <v>46071</v>
      </c>
      <c r="C121" s="5" t="s">
        <v>26</v>
      </c>
      <c r="D121" s="5" t="s">
        <v>27</v>
      </c>
      <c r="E121" s="5" t="s">
        <v>54</v>
      </c>
      <c r="F121" s="5" t="s">
        <v>47</v>
      </c>
      <c r="G121" s="5">
        <v>4</v>
      </c>
      <c r="H121" s="7">
        <v>700</v>
      </c>
      <c r="I121" s="7">
        <f t="shared" si="3"/>
        <v>2800</v>
      </c>
      <c r="J121" s="5" t="s">
        <v>34</v>
      </c>
      <c r="K121" s="11" t="str">
        <f t="shared" si="4"/>
        <v>février</v>
      </c>
      <c r="L121" s="11" t="str">
        <f t="shared" si="5"/>
        <v>Non</v>
      </c>
    </row>
    <row r="122" spans="1:12" x14ac:dyDescent="0.3">
      <c r="A122" s="5" t="s">
        <v>203</v>
      </c>
      <c r="B122" s="6">
        <v>46099</v>
      </c>
      <c r="C122" s="5" t="s">
        <v>44</v>
      </c>
      <c r="D122" s="5" t="s">
        <v>62</v>
      </c>
      <c r="E122" s="5" t="s">
        <v>54</v>
      </c>
      <c r="F122" s="5" t="s">
        <v>47</v>
      </c>
      <c r="G122" s="5">
        <v>4</v>
      </c>
      <c r="H122" s="7">
        <v>700</v>
      </c>
      <c r="I122" s="7">
        <f t="shared" si="3"/>
        <v>2800</v>
      </c>
      <c r="J122" s="5" t="s">
        <v>34</v>
      </c>
      <c r="K122" s="11" t="str">
        <f t="shared" si="4"/>
        <v>mars</v>
      </c>
      <c r="L122" s="11" t="str">
        <f t="shared" si="5"/>
        <v>Non</v>
      </c>
    </row>
    <row r="123" spans="1:12" x14ac:dyDescent="0.3">
      <c r="A123" s="5" t="s">
        <v>293</v>
      </c>
      <c r="B123" s="6">
        <v>46141</v>
      </c>
      <c r="C123" s="5" t="s">
        <v>44</v>
      </c>
      <c r="D123" s="5" t="s">
        <v>62</v>
      </c>
      <c r="E123" s="5" t="s">
        <v>54</v>
      </c>
      <c r="F123" s="5" t="s">
        <v>47</v>
      </c>
      <c r="G123" s="5">
        <v>4</v>
      </c>
      <c r="H123" s="7">
        <v>700</v>
      </c>
      <c r="I123" s="7">
        <f t="shared" si="3"/>
        <v>2800</v>
      </c>
      <c r="J123" s="5" t="s">
        <v>34</v>
      </c>
      <c r="K123" s="11" t="str">
        <f t="shared" si="4"/>
        <v>avril</v>
      </c>
      <c r="L123" s="11" t="str">
        <f t="shared" si="5"/>
        <v>Non</v>
      </c>
    </row>
    <row r="124" spans="1:12" x14ac:dyDescent="0.3">
      <c r="A124" s="5" t="s">
        <v>420</v>
      </c>
      <c r="B124" s="6">
        <v>46192</v>
      </c>
      <c r="C124" s="5" t="s">
        <v>26</v>
      </c>
      <c r="D124" s="5" t="s">
        <v>27</v>
      </c>
      <c r="E124" s="5" t="s">
        <v>54</v>
      </c>
      <c r="F124" s="5" t="s">
        <v>47</v>
      </c>
      <c r="G124" s="5">
        <v>4</v>
      </c>
      <c r="H124" s="7">
        <v>700</v>
      </c>
      <c r="I124" s="7">
        <f t="shared" si="3"/>
        <v>2800</v>
      </c>
      <c r="J124" s="5" t="s">
        <v>34</v>
      </c>
      <c r="K124" s="11" t="str">
        <f t="shared" si="4"/>
        <v>juin</v>
      </c>
      <c r="L124" s="11" t="str">
        <f t="shared" si="5"/>
        <v>Non</v>
      </c>
    </row>
    <row r="125" spans="1:12" x14ac:dyDescent="0.3">
      <c r="A125" s="5" t="s">
        <v>425</v>
      </c>
      <c r="B125" s="6">
        <v>46194</v>
      </c>
      <c r="C125" s="5" t="s">
        <v>44</v>
      </c>
      <c r="D125" s="5" t="s">
        <v>45</v>
      </c>
      <c r="E125" s="5" t="s">
        <v>54</v>
      </c>
      <c r="F125" s="5" t="s">
        <v>47</v>
      </c>
      <c r="G125" s="5">
        <v>4</v>
      </c>
      <c r="H125" s="7">
        <v>700</v>
      </c>
      <c r="I125" s="7">
        <f t="shared" si="3"/>
        <v>2800</v>
      </c>
      <c r="J125" s="5" t="s">
        <v>34</v>
      </c>
      <c r="K125" s="11" t="str">
        <f t="shared" si="4"/>
        <v>juin</v>
      </c>
      <c r="L125" s="11" t="str">
        <f t="shared" si="5"/>
        <v>Non</v>
      </c>
    </row>
    <row r="126" spans="1:12" x14ac:dyDescent="0.3">
      <c r="A126" s="5" t="s">
        <v>440</v>
      </c>
      <c r="B126" s="6">
        <v>46200</v>
      </c>
      <c r="C126" s="5" t="s">
        <v>20</v>
      </c>
      <c r="D126" s="5" t="s">
        <v>21</v>
      </c>
      <c r="E126" s="5" t="s">
        <v>54</v>
      </c>
      <c r="F126" s="5" t="s">
        <v>47</v>
      </c>
      <c r="G126" s="5">
        <v>4</v>
      </c>
      <c r="H126" s="7">
        <v>700</v>
      </c>
      <c r="I126" s="7">
        <f t="shared" si="3"/>
        <v>2800</v>
      </c>
      <c r="J126" s="5" t="s">
        <v>30</v>
      </c>
      <c r="K126" s="11" t="str">
        <f t="shared" si="4"/>
        <v>juin</v>
      </c>
      <c r="L126" s="11" t="str">
        <f t="shared" si="5"/>
        <v>Non</v>
      </c>
    </row>
    <row r="127" spans="1:12" x14ac:dyDescent="0.3">
      <c r="A127" s="5" t="s">
        <v>72</v>
      </c>
      <c r="B127" s="6">
        <v>46037</v>
      </c>
      <c r="C127" s="5" t="s">
        <v>44</v>
      </c>
      <c r="D127" s="5" t="s">
        <v>45</v>
      </c>
      <c r="E127" s="5" t="s">
        <v>73</v>
      </c>
      <c r="F127" s="5" t="s">
        <v>47</v>
      </c>
      <c r="G127" s="5">
        <v>3</v>
      </c>
      <c r="H127" s="7">
        <v>900</v>
      </c>
      <c r="I127" s="7">
        <f t="shared" si="3"/>
        <v>2700</v>
      </c>
      <c r="J127" s="5" t="s">
        <v>34</v>
      </c>
      <c r="K127" s="11" t="str">
        <f t="shared" si="4"/>
        <v>janvier</v>
      </c>
      <c r="L127" s="11" t="str">
        <f t="shared" si="5"/>
        <v>Non</v>
      </c>
    </row>
    <row r="128" spans="1:12" x14ac:dyDescent="0.3">
      <c r="A128" s="5" t="s">
        <v>92</v>
      </c>
      <c r="B128" s="6">
        <v>46046</v>
      </c>
      <c r="C128" s="5" t="s">
        <v>20</v>
      </c>
      <c r="D128" s="5" t="s">
        <v>32</v>
      </c>
      <c r="E128" s="5" t="s">
        <v>73</v>
      </c>
      <c r="F128" s="5" t="s">
        <v>47</v>
      </c>
      <c r="G128" s="5">
        <v>3</v>
      </c>
      <c r="H128" s="7">
        <v>900</v>
      </c>
      <c r="I128" s="7">
        <f t="shared" si="3"/>
        <v>2700</v>
      </c>
      <c r="J128" s="5" t="s">
        <v>30</v>
      </c>
      <c r="K128" s="11" t="str">
        <f t="shared" si="4"/>
        <v>janvier</v>
      </c>
      <c r="L128" s="11" t="str">
        <f t="shared" si="5"/>
        <v>Non</v>
      </c>
    </row>
    <row r="129" spans="1:12" x14ac:dyDescent="0.3">
      <c r="A129" s="5" t="s">
        <v>138</v>
      </c>
      <c r="B129" s="6">
        <v>46063</v>
      </c>
      <c r="C129" s="5" t="s">
        <v>20</v>
      </c>
      <c r="D129" s="5" t="s">
        <v>21</v>
      </c>
      <c r="E129" s="5" t="s">
        <v>73</v>
      </c>
      <c r="F129" s="5" t="s">
        <v>47</v>
      </c>
      <c r="G129" s="5">
        <v>3</v>
      </c>
      <c r="H129" s="7">
        <v>900</v>
      </c>
      <c r="I129" s="7">
        <f t="shared" si="3"/>
        <v>2700</v>
      </c>
      <c r="J129" s="5" t="s">
        <v>30</v>
      </c>
      <c r="K129" s="11" t="str">
        <f t="shared" si="4"/>
        <v>février</v>
      </c>
      <c r="L129" s="11" t="str">
        <f t="shared" si="5"/>
        <v>Non</v>
      </c>
    </row>
    <row r="130" spans="1:12" x14ac:dyDescent="0.3">
      <c r="A130" s="5" t="s">
        <v>141</v>
      </c>
      <c r="B130" s="6">
        <v>46065</v>
      </c>
      <c r="C130" s="5" t="s">
        <v>20</v>
      </c>
      <c r="D130" s="5" t="s">
        <v>21</v>
      </c>
      <c r="E130" s="5" t="s">
        <v>39</v>
      </c>
      <c r="F130" s="5" t="s">
        <v>29</v>
      </c>
      <c r="G130" s="5">
        <v>6</v>
      </c>
      <c r="H130" s="7">
        <v>450</v>
      </c>
      <c r="I130" s="7">
        <f t="shared" ref="I130:I193" si="6">G130*H130</f>
        <v>2700</v>
      </c>
      <c r="J130" s="5" t="s">
        <v>30</v>
      </c>
      <c r="K130" s="11" t="str">
        <f t="shared" si="4"/>
        <v>février</v>
      </c>
      <c r="L130" s="11" t="str">
        <f t="shared" si="5"/>
        <v>Non</v>
      </c>
    </row>
    <row r="131" spans="1:12" x14ac:dyDescent="0.3">
      <c r="A131" s="5" t="s">
        <v>238</v>
      </c>
      <c r="B131" s="6">
        <v>46118</v>
      </c>
      <c r="C131" s="5" t="s">
        <v>20</v>
      </c>
      <c r="D131" s="5" t="s">
        <v>32</v>
      </c>
      <c r="E131" s="5" t="s">
        <v>39</v>
      </c>
      <c r="F131" s="5" t="s">
        <v>29</v>
      </c>
      <c r="G131" s="5">
        <v>6</v>
      </c>
      <c r="H131" s="7">
        <v>450</v>
      </c>
      <c r="I131" s="7">
        <f t="shared" si="6"/>
        <v>2700</v>
      </c>
      <c r="J131" s="5" t="s">
        <v>34</v>
      </c>
      <c r="K131" s="11" t="str">
        <f t="shared" ref="K131:K194" si="7">TEXT(B131,"mmmm")</f>
        <v>avril</v>
      </c>
      <c r="L131" s="11" t="str">
        <f t="shared" ref="L131:L194" si="8">IF(I131&gt;5000,"Oui","Non")</f>
        <v>Non</v>
      </c>
    </row>
    <row r="132" spans="1:12" x14ac:dyDescent="0.3">
      <c r="A132" s="5" t="s">
        <v>80</v>
      </c>
      <c r="B132" s="6">
        <v>46042</v>
      </c>
      <c r="C132" s="5" t="s">
        <v>26</v>
      </c>
      <c r="D132" s="5" t="s">
        <v>27</v>
      </c>
      <c r="E132" s="5" t="s">
        <v>51</v>
      </c>
      <c r="F132" s="5" t="s">
        <v>52</v>
      </c>
      <c r="G132" s="5">
        <v>5</v>
      </c>
      <c r="H132" s="7">
        <v>500</v>
      </c>
      <c r="I132" s="7">
        <f t="shared" si="6"/>
        <v>2500</v>
      </c>
      <c r="J132" s="5" t="s">
        <v>30</v>
      </c>
      <c r="K132" s="11" t="str">
        <f t="shared" si="7"/>
        <v>janvier</v>
      </c>
      <c r="L132" s="11" t="str">
        <f t="shared" si="8"/>
        <v>Non</v>
      </c>
    </row>
    <row r="133" spans="1:12" x14ac:dyDescent="0.3">
      <c r="A133" s="5" t="s">
        <v>89</v>
      </c>
      <c r="B133" s="6">
        <v>46045</v>
      </c>
      <c r="C133" s="5" t="s">
        <v>26</v>
      </c>
      <c r="D133" s="5" t="s">
        <v>38</v>
      </c>
      <c r="E133" s="5" t="s">
        <v>51</v>
      </c>
      <c r="F133" s="5" t="s">
        <v>52</v>
      </c>
      <c r="G133" s="5">
        <v>5</v>
      </c>
      <c r="H133" s="7">
        <v>500</v>
      </c>
      <c r="I133" s="7">
        <f t="shared" si="6"/>
        <v>2500</v>
      </c>
      <c r="J133" s="5" t="s">
        <v>34</v>
      </c>
      <c r="K133" s="11" t="str">
        <f t="shared" si="7"/>
        <v>janvier</v>
      </c>
      <c r="L133" s="11" t="str">
        <f t="shared" si="8"/>
        <v>Non</v>
      </c>
    </row>
    <row r="134" spans="1:12" x14ac:dyDescent="0.3">
      <c r="A134" s="5" t="s">
        <v>136</v>
      </c>
      <c r="B134" s="6">
        <v>46062</v>
      </c>
      <c r="C134" s="5" t="s">
        <v>44</v>
      </c>
      <c r="D134" s="5" t="s">
        <v>62</v>
      </c>
      <c r="E134" s="5" t="s">
        <v>59</v>
      </c>
      <c r="F134" s="5" t="s">
        <v>29</v>
      </c>
      <c r="G134" s="5">
        <v>1</v>
      </c>
      <c r="H134" s="7">
        <v>2500</v>
      </c>
      <c r="I134" s="7">
        <f t="shared" si="6"/>
        <v>2500</v>
      </c>
      <c r="J134" s="5" t="s">
        <v>34</v>
      </c>
      <c r="K134" s="11" t="str">
        <f t="shared" si="7"/>
        <v>février</v>
      </c>
      <c r="L134" s="11" t="str">
        <f t="shared" si="8"/>
        <v>Non</v>
      </c>
    </row>
    <row r="135" spans="1:12" x14ac:dyDescent="0.3">
      <c r="A135" s="5" t="s">
        <v>137</v>
      </c>
      <c r="B135" s="6">
        <v>46063</v>
      </c>
      <c r="C135" s="5" t="s">
        <v>44</v>
      </c>
      <c r="D135" s="5" t="s">
        <v>62</v>
      </c>
      <c r="E135" s="5" t="s">
        <v>59</v>
      </c>
      <c r="F135" s="5" t="s">
        <v>29</v>
      </c>
      <c r="G135" s="5">
        <v>1</v>
      </c>
      <c r="H135" s="7">
        <v>2500</v>
      </c>
      <c r="I135" s="7">
        <f t="shared" si="6"/>
        <v>2500</v>
      </c>
      <c r="J135" s="5" t="s">
        <v>34</v>
      </c>
      <c r="K135" s="11" t="str">
        <f t="shared" si="7"/>
        <v>février</v>
      </c>
      <c r="L135" s="11" t="str">
        <f t="shared" si="8"/>
        <v>Non</v>
      </c>
    </row>
    <row r="136" spans="1:12" x14ac:dyDescent="0.3">
      <c r="A136" s="5" t="s">
        <v>150</v>
      </c>
      <c r="B136" s="6">
        <v>46069</v>
      </c>
      <c r="C136" s="5" t="s">
        <v>20</v>
      </c>
      <c r="D136" s="5" t="s">
        <v>32</v>
      </c>
      <c r="E136" s="5" t="s">
        <v>59</v>
      </c>
      <c r="F136" s="5" t="s">
        <v>29</v>
      </c>
      <c r="G136" s="5">
        <v>1</v>
      </c>
      <c r="H136" s="7">
        <v>2500</v>
      </c>
      <c r="I136" s="7">
        <f t="shared" si="6"/>
        <v>2500</v>
      </c>
      <c r="J136" s="5" t="s">
        <v>34</v>
      </c>
      <c r="K136" s="11" t="str">
        <f t="shared" si="7"/>
        <v>février</v>
      </c>
      <c r="L136" s="11" t="str">
        <f t="shared" si="8"/>
        <v>Non</v>
      </c>
    </row>
    <row r="137" spans="1:12" x14ac:dyDescent="0.3">
      <c r="A137" s="5" t="s">
        <v>152</v>
      </c>
      <c r="B137" s="6">
        <v>46069</v>
      </c>
      <c r="C137" s="5" t="s">
        <v>44</v>
      </c>
      <c r="D137" s="5" t="s">
        <v>62</v>
      </c>
      <c r="E137" s="5" t="s">
        <v>59</v>
      </c>
      <c r="F137" s="5" t="s">
        <v>29</v>
      </c>
      <c r="G137" s="5">
        <v>1</v>
      </c>
      <c r="H137" s="7">
        <v>2500</v>
      </c>
      <c r="I137" s="7">
        <f t="shared" si="6"/>
        <v>2500</v>
      </c>
      <c r="J137" s="5" t="s">
        <v>34</v>
      </c>
      <c r="K137" s="11" t="str">
        <f t="shared" si="7"/>
        <v>février</v>
      </c>
      <c r="L137" s="11" t="str">
        <f t="shared" si="8"/>
        <v>Non</v>
      </c>
    </row>
    <row r="138" spans="1:12" x14ac:dyDescent="0.3">
      <c r="A138" s="5" t="s">
        <v>156</v>
      </c>
      <c r="B138" s="6">
        <v>46070</v>
      </c>
      <c r="C138" s="5" t="s">
        <v>26</v>
      </c>
      <c r="D138" s="5" t="s">
        <v>38</v>
      </c>
      <c r="E138" s="5" t="s">
        <v>59</v>
      </c>
      <c r="F138" s="5" t="s">
        <v>29</v>
      </c>
      <c r="G138" s="5">
        <v>1</v>
      </c>
      <c r="H138" s="7">
        <v>2500</v>
      </c>
      <c r="I138" s="7">
        <f t="shared" si="6"/>
        <v>2500</v>
      </c>
      <c r="J138" s="5" t="s">
        <v>34</v>
      </c>
      <c r="K138" s="11" t="str">
        <f t="shared" si="7"/>
        <v>février</v>
      </c>
      <c r="L138" s="11" t="str">
        <f t="shared" si="8"/>
        <v>Non</v>
      </c>
    </row>
    <row r="139" spans="1:12" x14ac:dyDescent="0.3">
      <c r="A139" s="5" t="s">
        <v>231</v>
      </c>
      <c r="B139" s="6">
        <v>46115</v>
      </c>
      <c r="C139" s="5" t="s">
        <v>26</v>
      </c>
      <c r="D139" s="5" t="s">
        <v>27</v>
      </c>
      <c r="E139" s="5" t="s">
        <v>51</v>
      </c>
      <c r="F139" s="5" t="s">
        <v>52</v>
      </c>
      <c r="G139" s="5">
        <v>5</v>
      </c>
      <c r="H139" s="7">
        <v>500</v>
      </c>
      <c r="I139" s="7">
        <f t="shared" si="6"/>
        <v>2500</v>
      </c>
      <c r="J139" s="5" t="s">
        <v>34</v>
      </c>
      <c r="K139" s="11" t="str">
        <f t="shared" si="7"/>
        <v>avril</v>
      </c>
      <c r="L139" s="11" t="str">
        <f t="shared" si="8"/>
        <v>Non</v>
      </c>
    </row>
    <row r="140" spans="1:12" x14ac:dyDescent="0.3">
      <c r="A140" s="5" t="s">
        <v>232</v>
      </c>
      <c r="B140" s="6">
        <v>46116</v>
      </c>
      <c r="C140" s="5" t="s">
        <v>26</v>
      </c>
      <c r="D140" s="5" t="s">
        <v>38</v>
      </c>
      <c r="E140" s="5" t="s">
        <v>59</v>
      </c>
      <c r="F140" s="5" t="s">
        <v>29</v>
      </c>
      <c r="G140" s="5">
        <v>1</v>
      </c>
      <c r="H140" s="7">
        <v>2500</v>
      </c>
      <c r="I140" s="7">
        <f t="shared" si="6"/>
        <v>2500</v>
      </c>
      <c r="J140" s="5" t="s">
        <v>30</v>
      </c>
      <c r="K140" s="11" t="str">
        <f t="shared" si="7"/>
        <v>avril</v>
      </c>
      <c r="L140" s="11" t="str">
        <f t="shared" si="8"/>
        <v>Non</v>
      </c>
    </row>
    <row r="141" spans="1:12" x14ac:dyDescent="0.3">
      <c r="A141" s="5" t="s">
        <v>239</v>
      </c>
      <c r="B141" s="6">
        <v>46118</v>
      </c>
      <c r="C141" s="5" t="s">
        <v>26</v>
      </c>
      <c r="D141" s="5" t="s">
        <v>27</v>
      </c>
      <c r="E141" s="5" t="s">
        <v>59</v>
      </c>
      <c r="F141" s="5" t="s">
        <v>29</v>
      </c>
      <c r="G141" s="5">
        <v>1</v>
      </c>
      <c r="H141" s="7">
        <v>2500</v>
      </c>
      <c r="I141" s="7">
        <f t="shared" si="6"/>
        <v>2500</v>
      </c>
      <c r="J141" s="5" t="s">
        <v>30</v>
      </c>
      <c r="K141" s="11" t="str">
        <f t="shared" si="7"/>
        <v>avril</v>
      </c>
      <c r="L141" s="11" t="str">
        <f t="shared" si="8"/>
        <v>Non</v>
      </c>
    </row>
    <row r="142" spans="1:12" x14ac:dyDescent="0.3">
      <c r="A142" s="5" t="s">
        <v>277</v>
      </c>
      <c r="B142" s="6">
        <v>46135</v>
      </c>
      <c r="C142" s="5" t="s">
        <v>44</v>
      </c>
      <c r="D142" s="5" t="s">
        <v>45</v>
      </c>
      <c r="E142" s="5" t="s">
        <v>59</v>
      </c>
      <c r="F142" s="5" t="s">
        <v>29</v>
      </c>
      <c r="G142" s="5">
        <v>1</v>
      </c>
      <c r="H142" s="7">
        <v>2500</v>
      </c>
      <c r="I142" s="7">
        <f t="shared" si="6"/>
        <v>2500</v>
      </c>
      <c r="J142" s="5" t="s">
        <v>24</v>
      </c>
      <c r="K142" s="11" t="str">
        <f t="shared" si="7"/>
        <v>avril</v>
      </c>
      <c r="L142" s="11" t="str">
        <f t="shared" si="8"/>
        <v>Non</v>
      </c>
    </row>
    <row r="143" spans="1:12" x14ac:dyDescent="0.3">
      <c r="A143" s="5" t="s">
        <v>284</v>
      </c>
      <c r="B143" s="6">
        <v>46138</v>
      </c>
      <c r="C143" s="5" t="s">
        <v>26</v>
      </c>
      <c r="D143" s="5" t="s">
        <v>27</v>
      </c>
      <c r="E143" s="5" t="s">
        <v>59</v>
      </c>
      <c r="F143" s="5" t="s">
        <v>29</v>
      </c>
      <c r="G143" s="5">
        <v>1</v>
      </c>
      <c r="H143" s="7">
        <v>2500</v>
      </c>
      <c r="I143" s="7">
        <f t="shared" si="6"/>
        <v>2500</v>
      </c>
      <c r="J143" s="5" t="s">
        <v>34</v>
      </c>
      <c r="K143" s="11" t="str">
        <f t="shared" si="7"/>
        <v>avril</v>
      </c>
      <c r="L143" s="11" t="str">
        <f t="shared" si="8"/>
        <v>Non</v>
      </c>
    </row>
    <row r="144" spans="1:12" x14ac:dyDescent="0.3">
      <c r="A144" s="5" t="s">
        <v>295</v>
      </c>
      <c r="B144" s="6">
        <v>46142</v>
      </c>
      <c r="C144" s="5" t="s">
        <v>20</v>
      </c>
      <c r="D144" s="5" t="s">
        <v>21</v>
      </c>
      <c r="E144" s="5" t="s">
        <v>59</v>
      </c>
      <c r="F144" s="5" t="s">
        <v>29</v>
      </c>
      <c r="G144" s="5">
        <v>1</v>
      </c>
      <c r="H144" s="7">
        <v>2500</v>
      </c>
      <c r="I144" s="7">
        <f t="shared" si="6"/>
        <v>2500</v>
      </c>
      <c r="J144" s="5" t="s">
        <v>30</v>
      </c>
      <c r="K144" s="11" t="str">
        <f t="shared" si="7"/>
        <v>avril</v>
      </c>
      <c r="L144" s="11" t="str">
        <f t="shared" si="8"/>
        <v>Non</v>
      </c>
    </row>
    <row r="145" spans="1:12" x14ac:dyDescent="0.3">
      <c r="A145" s="5" t="s">
        <v>298</v>
      </c>
      <c r="B145" s="6">
        <v>46143</v>
      </c>
      <c r="C145" s="5" t="s">
        <v>20</v>
      </c>
      <c r="D145" s="5" t="s">
        <v>21</v>
      </c>
      <c r="E145" s="5" t="s">
        <v>59</v>
      </c>
      <c r="F145" s="5" t="s">
        <v>29</v>
      </c>
      <c r="G145" s="5">
        <v>1</v>
      </c>
      <c r="H145" s="7">
        <v>2500</v>
      </c>
      <c r="I145" s="7">
        <f t="shared" si="6"/>
        <v>2500</v>
      </c>
      <c r="J145" s="5" t="s">
        <v>24</v>
      </c>
      <c r="K145" s="11" t="str">
        <f t="shared" si="7"/>
        <v>mai</v>
      </c>
      <c r="L145" s="11" t="str">
        <f t="shared" si="8"/>
        <v>Non</v>
      </c>
    </row>
    <row r="146" spans="1:12" x14ac:dyDescent="0.3">
      <c r="A146" s="5" t="s">
        <v>392</v>
      </c>
      <c r="B146" s="6">
        <v>46183</v>
      </c>
      <c r="C146" s="5" t="s">
        <v>20</v>
      </c>
      <c r="D146" s="5" t="s">
        <v>21</v>
      </c>
      <c r="E146" s="5" t="s">
        <v>22</v>
      </c>
      <c r="F146" s="5" t="s">
        <v>23</v>
      </c>
      <c r="G146" s="5">
        <v>10</v>
      </c>
      <c r="H146" s="7">
        <v>250</v>
      </c>
      <c r="I146" s="7">
        <f t="shared" si="6"/>
        <v>2500</v>
      </c>
      <c r="J146" s="5" t="s">
        <v>30</v>
      </c>
      <c r="K146" s="11" t="str">
        <f t="shared" si="7"/>
        <v>juin</v>
      </c>
      <c r="L146" s="11" t="str">
        <f t="shared" si="8"/>
        <v>Non</v>
      </c>
    </row>
    <row r="147" spans="1:12" x14ac:dyDescent="0.3">
      <c r="A147" s="5" t="s">
        <v>413</v>
      </c>
      <c r="B147" s="6">
        <v>46190</v>
      </c>
      <c r="C147" s="5" t="s">
        <v>44</v>
      </c>
      <c r="D147" s="5" t="s">
        <v>45</v>
      </c>
      <c r="E147" s="5" t="s">
        <v>51</v>
      </c>
      <c r="F147" s="5" t="s">
        <v>52</v>
      </c>
      <c r="G147" s="5">
        <v>5</v>
      </c>
      <c r="H147" s="7">
        <v>500</v>
      </c>
      <c r="I147" s="7">
        <f t="shared" si="6"/>
        <v>2500</v>
      </c>
      <c r="J147" s="5" t="s">
        <v>24</v>
      </c>
      <c r="K147" s="11" t="str">
        <f t="shared" si="7"/>
        <v>juin</v>
      </c>
      <c r="L147" s="11" t="str">
        <f t="shared" si="8"/>
        <v>Non</v>
      </c>
    </row>
    <row r="148" spans="1:12" x14ac:dyDescent="0.3">
      <c r="A148" s="5" t="s">
        <v>417</v>
      </c>
      <c r="B148" s="6">
        <v>46191</v>
      </c>
      <c r="C148" s="5" t="s">
        <v>26</v>
      </c>
      <c r="D148" s="5" t="s">
        <v>38</v>
      </c>
      <c r="E148" s="5" t="s">
        <v>59</v>
      </c>
      <c r="F148" s="5" t="s">
        <v>29</v>
      </c>
      <c r="G148" s="5">
        <v>1</v>
      </c>
      <c r="H148" s="7">
        <v>2500</v>
      </c>
      <c r="I148" s="7">
        <f t="shared" si="6"/>
        <v>2500</v>
      </c>
      <c r="J148" s="5" t="s">
        <v>24</v>
      </c>
      <c r="K148" s="11" t="str">
        <f t="shared" si="7"/>
        <v>juin</v>
      </c>
      <c r="L148" s="11" t="str">
        <f t="shared" si="8"/>
        <v>Non</v>
      </c>
    </row>
    <row r="149" spans="1:12" x14ac:dyDescent="0.3">
      <c r="A149" s="5" t="s">
        <v>99</v>
      </c>
      <c r="B149" s="6">
        <v>46050</v>
      </c>
      <c r="C149" s="5" t="s">
        <v>20</v>
      </c>
      <c r="D149" s="5" t="s">
        <v>32</v>
      </c>
      <c r="E149" s="5" t="s">
        <v>66</v>
      </c>
      <c r="F149" s="5" t="s">
        <v>23</v>
      </c>
      <c r="G149" s="5">
        <v>2</v>
      </c>
      <c r="H149" s="7">
        <v>1200</v>
      </c>
      <c r="I149" s="7">
        <f t="shared" si="6"/>
        <v>2400</v>
      </c>
      <c r="J149" s="5" t="s">
        <v>34</v>
      </c>
      <c r="K149" s="11" t="str">
        <f t="shared" si="7"/>
        <v>janvier</v>
      </c>
      <c r="L149" s="11" t="str">
        <f t="shared" si="8"/>
        <v>Non</v>
      </c>
    </row>
    <row r="150" spans="1:12" x14ac:dyDescent="0.3">
      <c r="A150" s="5" t="s">
        <v>174</v>
      </c>
      <c r="B150" s="6">
        <v>46083</v>
      </c>
      <c r="C150" s="5" t="s">
        <v>26</v>
      </c>
      <c r="D150" s="5" t="s">
        <v>27</v>
      </c>
      <c r="E150" s="5" t="s">
        <v>33</v>
      </c>
      <c r="F150" s="5" t="s">
        <v>23</v>
      </c>
      <c r="G150" s="5">
        <v>4</v>
      </c>
      <c r="H150" s="7">
        <v>600</v>
      </c>
      <c r="I150" s="7">
        <f t="shared" si="6"/>
        <v>2400</v>
      </c>
      <c r="J150" s="5" t="s">
        <v>34</v>
      </c>
      <c r="K150" s="11" t="str">
        <f t="shared" si="7"/>
        <v>mars</v>
      </c>
      <c r="L150" s="11" t="str">
        <f t="shared" si="8"/>
        <v>Non</v>
      </c>
    </row>
    <row r="151" spans="1:12" x14ac:dyDescent="0.3">
      <c r="A151" s="5" t="s">
        <v>190</v>
      </c>
      <c r="B151" s="6">
        <v>46092</v>
      </c>
      <c r="C151" s="5" t="s">
        <v>20</v>
      </c>
      <c r="D151" s="5" t="s">
        <v>32</v>
      </c>
      <c r="E151" s="5" t="s">
        <v>66</v>
      </c>
      <c r="F151" s="5" t="s">
        <v>23</v>
      </c>
      <c r="G151" s="5">
        <v>2</v>
      </c>
      <c r="H151" s="7">
        <v>1200</v>
      </c>
      <c r="I151" s="7">
        <f t="shared" si="6"/>
        <v>2400</v>
      </c>
      <c r="J151" s="5" t="s">
        <v>34</v>
      </c>
      <c r="K151" s="11" t="str">
        <f t="shared" si="7"/>
        <v>mars</v>
      </c>
      <c r="L151" s="11" t="str">
        <f t="shared" si="8"/>
        <v>Non</v>
      </c>
    </row>
    <row r="152" spans="1:12" x14ac:dyDescent="0.3">
      <c r="A152" s="5" t="s">
        <v>201</v>
      </c>
      <c r="B152" s="6">
        <v>46099</v>
      </c>
      <c r="C152" s="5" t="s">
        <v>44</v>
      </c>
      <c r="D152" s="5" t="s">
        <v>45</v>
      </c>
      <c r="E152" s="5" t="s">
        <v>36</v>
      </c>
      <c r="F152" s="5" t="s">
        <v>29</v>
      </c>
      <c r="G152" s="5">
        <v>3</v>
      </c>
      <c r="H152" s="7">
        <v>800</v>
      </c>
      <c r="I152" s="7">
        <f t="shared" si="6"/>
        <v>2400</v>
      </c>
      <c r="J152" s="5" t="s">
        <v>30</v>
      </c>
      <c r="K152" s="11" t="str">
        <f t="shared" si="7"/>
        <v>mars</v>
      </c>
      <c r="L152" s="11" t="str">
        <f t="shared" si="8"/>
        <v>Non</v>
      </c>
    </row>
    <row r="153" spans="1:12" x14ac:dyDescent="0.3">
      <c r="A153" s="5" t="s">
        <v>204</v>
      </c>
      <c r="B153" s="6">
        <v>46099</v>
      </c>
      <c r="C153" s="5" t="s">
        <v>44</v>
      </c>
      <c r="D153" s="5" t="s">
        <v>62</v>
      </c>
      <c r="E153" s="5" t="s">
        <v>70</v>
      </c>
      <c r="F153" s="5" t="s">
        <v>52</v>
      </c>
      <c r="G153" s="5">
        <v>6</v>
      </c>
      <c r="H153" s="7">
        <v>400</v>
      </c>
      <c r="I153" s="7">
        <f t="shared" si="6"/>
        <v>2400</v>
      </c>
      <c r="J153" s="5" t="s">
        <v>34</v>
      </c>
      <c r="K153" s="11" t="str">
        <f t="shared" si="7"/>
        <v>mars</v>
      </c>
      <c r="L153" s="11" t="str">
        <f t="shared" si="8"/>
        <v>Non</v>
      </c>
    </row>
    <row r="154" spans="1:12" x14ac:dyDescent="0.3">
      <c r="A154" s="5" t="s">
        <v>206</v>
      </c>
      <c r="B154" s="6">
        <v>46100</v>
      </c>
      <c r="C154" s="5" t="s">
        <v>44</v>
      </c>
      <c r="D154" s="5" t="s">
        <v>62</v>
      </c>
      <c r="E154" s="5" t="s">
        <v>28</v>
      </c>
      <c r="F154" s="5" t="s">
        <v>29</v>
      </c>
      <c r="G154" s="5">
        <v>6</v>
      </c>
      <c r="H154" s="7">
        <v>400</v>
      </c>
      <c r="I154" s="7">
        <f t="shared" si="6"/>
        <v>2400</v>
      </c>
      <c r="J154" s="5" t="s">
        <v>34</v>
      </c>
      <c r="K154" s="11" t="str">
        <f t="shared" si="7"/>
        <v>mars</v>
      </c>
      <c r="L154" s="11" t="str">
        <f t="shared" si="8"/>
        <v>Non</v>
      </c>
    </row>
    <row r="155" spans="1:12" x14ac:dyDescent="0.3">
      <c r="A155" s="5" t="s">
        <v>207</v>
      </c>
      <c r="B155" s="6">
        <v>46100</v>
      </c>
      <c r="C155" s="5" t="s">
        <v>26</v>
      </c>
      <c r="D155" s="5" t="s">
        <v>38</v>
      </c>
      <c r="E155" s="5" t="s">
        <v>66</v>
      </c>
      <c r="F155" s="5" t="s">
        <v>23</v>
      </c>
      <c r="G155" s="5">
        <v>2</v>
      </c>
      <c r="H155" s="7">
        <v>1200</v>
      </c>
      <c r="I155" s="7">
        <f t="shared" si="6"/>
        <v>2400</v>
      </c>
      <c r="J155" s="5" t="s">
        <v>34</v>
      </c>
      <c r="K155" s="11" t="str">
        <f t="shared" si="7"/>
        <v>mars</v>
      </c>
      <c r="L155" s="11" t="str">
        <f t="shared" si="8"/>
        <v>Non</v>
      </c>
    </row>
    <row r="156" spans="1:12" x14ac:dyDescent="0.3">
      <c r="A156" s="5" t="s">
        <v>246</v>
      </c>
      <c r="B156" s="6">
        <v>46122</v>
      </c>
      <c r="C156" s="5" t="s">
        <v>44</v>
      </c>
      <c r="D156" s="5" t="s">
        <v>45</v>
      </c>
      <c r="E156" s="5" t="s">
        <v>66</v>
      </c>
      <c r="F156" s="5" t="s">
        <v>23</v>
      </c>
      <c r="G156" s="5">
        <v>2</v>
      </c>
      <c r="H156" s="7">
        <v>1200</v>
      </c>
      <c r="I156" s="7">
        <f t="shared" si="6"/>
        <v>2400</v>
      </c>
      <c r="J156" s="5" t="s">
        <v>34</v>
      </c>
      <c r="K156" s="11" t="str">
        <f t="shared" si="7"/>
        <v>avril</v>
      </c>
      <c r="L156" s="11" t="str">
        <f t="shared" si="8"/>
        <v>Non</v>
      </c>
    </row>
    <row r="157" spans="1:12" x14ac:dyDescent="0.3">
      <c r="A157" s="5" t="s">
        <v>254</v>
      </c>
      <c r="B157" s="6">
        <v>46126</v>
      </c>
      <c r="C157" s="5" t="s">
        <v>44</v>
      </c>
      <c r="D157" s="5" t="s">
        <v>45</v>
      </c>
      <c r="E157" s="5" t="s">
        <v>66</v>
      </c>
      <c r="F157" s="5" t="s">
        <v>23</v>
      </c>
      <c r="G157" s="5">
        <v>2</v>
      </c>
      <c r="H157" s="7">
        <v>1200</v>
      </c>
      <c r="I157" s="7">
        <f t="shared" si="6"/>
        <v>2400</v>
      </c>
      <c r="J157" s="5" t="s">
        <v>24</v>
      </c>
      <c r="K157" s="11" t="str">
        <f t="shared" si="7"/>
        <v>avril</v>
      </c>
      <c r="L157" s="11" t="str">
        <f t="shared" si="8"/>
        <v>Non</v>
      </c>
    </row>
    <row r="158" spans="1:12" x14ac:dyDescent="0.3">
      <c r="A158" s="5" t="s">
        <v>259</v>
      </c>
      <c r="B158" s="6">
        <v>46127</v>
      </c>
      <c r="C158" s="5" t="s">
        <v>44</v>
      </c>
      <c r="D158" s="5" t="s">
        <v>45</v>
      </c>
      <c r="E158" s="5" t="s">
        <v>36</v>
      </c>
      <c r="F158" s="5" t="s">
        <v>29</v>
      </c>
      <c r="G158" s="5">
        <v>3</v>
      </c>
      <c r="H158" s="7">
        <v>800</v>
      </c>
      <c r="I158" s="7">
        <f t="shared" si="6"/>
        <v>2400</v>
      </c>
      <c r="J158" s="5" t="s">
        <v>30</v>
      </c>
      <c r="K158" s="11" t="str">
        <f t="shared" si="7"/>
        <v>avril</v>
      </c>
      <c r="L158" s="11" t="str">
        <f t="shared" si="8"/>
        <v>Non</v>
      </c>
    </row>
    <row r="159" spans="1:12" x14ac:dyDescent="0.3">
      <c r="A159" s="5" t="s">
        <v>273</v>
      </c>
      <c r="B159" s="6">
        <v>46134</v>
      </c>
      <c r="C159" s="5" t="s">
        <v>20</v>
      </c>
      <c r="D159" s="5" t="s">
        <v>21</v>
      </c>
      <c r="E159" s="5" t="s">
        <v>33</v>
      </c>
      <c r="F159" s="5" t="s">
        <v>23</v>
      </c>
      <c r="G159" s="5">
        <v>4</v>
      </c>
      <c r="H159" s="7">
        <v>600</v>
      </c>
      <c r="I159" s="7">
        <f t="shared" si="6"/>
        <v>2400</v>
      </c>
      <c r="J159" s="5" t="s">
        <v>34</v>
      </c>
      <c r="K159" s="11" t="str">
        <f t="shared" si="7"/>
        <v>avril</v>
      </c>
      <c r="L159" s="11" t="str">
        <f t="shared" si="8"/>
        <v>Non</v>
      </c>
    </row>
    <row r="160" spans="1:12" x14ac:dyDescent="0.3">
      <c r="A160" s="5" t="s">
        <v>274</v>
      </c>
      <c r="B160" s="6">
        <v>46135</v>
      </c>
      <c r="C160" s="5" t="s">
        <v>26</v>
      </c>
      <c r="D160" s="5" t="s">
        <v>27</v>
      </c>
      <c r="E160" s="5" t="s">
        <v>33</v>
      </c>
      <c r="F160" s="5" t="s">
        <v>23</v>
      </c>
      <c r="G160" s="5">
        <v>4</v>
      </c>
      <c r="H160" s="7">
        <v>600</v>
      </c>
      <c r="I160" s="7">
        <f t="shared" si="6"/>
        <v>2400</v>
      </c>
      <c r="J160" s="5" t="s">
        <v>30</v>
      </c>
      <c r="K160" s="11" t="str">
        <f t="shared" si="7"/>
        <v>avril</v>
      </c>
      <c r="L160" s="11" t="str">
        <f t="shared" si="8"/>
        <v>Non</v>
      </c>
    </row>
    <row r="161" spans="1:12" x14ac:dyDescent="0.3">
      <c r="A161" s="5" t="s">
        <v>306</v>
      </c>
      <c r="B161" s="6">
        <v>46146</v>
      </c>
      <c r="C161" s="5" t="s">
        <v>20</v>
      </c>
      <c r="D161" s="5" t="s">
        <v>21</v>
      </c>
      <c r="E161" s="5" t="s">
        <v>70</v>
      </c>
      <c r="F161" s="5" t="s">
        <v>52</v>
      </c>
      <c r="G161" s="5">
        <v>6</v>
      </c>
      <c r="H161" s="7">
        <v>400</v>
      </c>
      <c r="I161" s="7">
        <f t="shared" si="6"/>
        <v>2400</v>
      </c>
      <c r="J161" s="5" t="s">
        <v>34</v>
      </c>
      <c r="K161" s="11" t="str">
        <f t="shared" si="7"/>
        <v>mai</v>
      </c>
      <c r="L161" s="11" t="str">
        <f t="shared" si="8"/>
        <v>Non</v>
      </c>
    </row>
    <row r="162" spans="1:12" x14ac:dyDescent="0.3">
      <c r="A162" s="5" t="s">
        <v>369</v>
      </c>
      <c r="B162" s="6">
        <v>46174</v>
      </c>
      <c r="C162" s="5" t="s">
        <v>20</v>
      </c>
      <c r="D162" s="5" t="s">
        <v>32</v>
      </c>
      <c r="E162" s="5" t="s">
        <v>66</v>
      </c>
      <c r="F162" s="5" t="s">
        <v>23</v>
      </c>
      <c r="G162" s="5">
        <v>2</v>
      </c>
      <c r="H162" s="7">
        <v>1200</v>
      </c>
      <c r="I162" s="7">
        <f t="shared" si="6"/>
        <v>2400</v>
      </c>
      <c r="J162" s="5" t="s">
        <v>34</v>
      </c>
      <c r="K162" s="11" t="str">
        <f t="shared" si="7"/>
        <v>juin</v>
      </c>
      <c r="L162" s="11" t="str">
        <f t="shared" si="8"/>
        <v>Non</v>
      </c>
    </row>
    <row r="163" spans="1:12" x14ac:dyDescent="0.3">
      <c r="A163" s="5" t="s">
        <v>378</v>
      </c>
      <c r="B163" s="6">
        <v>46178</v>
      </c>
      <c r="C163" s="5" t="s">
        <v>26</v>
      </c>
      <c r="D163" s="5" t="s">
        <v>27</v>
      </c>
      <c r="E163" s="5" t="s">
        <v>28</v>
      </c>
      <c r="F163" s="5" t="s">
        <v>29</v>
      </c>
      <c r="G163" s="5">
        <v>6</v>
      </c>
      <c r="H163" s="7">
        <v>400</v>
      </c>
      <c r="I163" s="7">
        <f t="shared" si="6"/>
        <v>2400</v>
      </c>
      <c r="J163" s="5" t="s">
        <v>34</v>
      </c>
      <c r="K163" s="11" t="str">
        <f t="shared" si="7"/>
        <v>juin</v>
      </c>
      <c r="L163" s="11" t="str">
        <f t="shared" si="8"/>
        <v>Non</v>
      </c>
    </row>
    <row r="164" spans="1:12" x14ac:dyDescent="0.3">
      <c r="A164" s="5" t="s">
        <v>387</v>
      </c>
      <c r="B164" s="6">
        <v>46182</v>
      </c>
      <c r="C164" s="5" t="s">
        <v>44</v>
      </c>
      <c r="D164" s="5" t="s">
        <v>45</v>
      </c>
      <c r="E164" s="5" t="s">
        <v>33</v>
      </c>
      <c r="F164" s="5" t="s">
        <v>23</v>
      </c>
      <c r="G164" s="5">
        <v>4</v>
      </c>
      <c r="H164" s="7">
        <v>600</v>
      </c>
      <c r="I164" s="7">
        <f t="shared" si="6"/>
        <v>2400</v>
      </c>
      <c r="J164" s="5" t="s">
        <v>34</v>
      </c>
      <c r="K164" s="11" t="str">
        <f t="shared" si="7"/>
        <v>juin</v>
      </c>
      <c r="L164" s="11" t="str">
        <f t="shared" si="8"/>
        <v>Non</v>
      </c>
    </row>
    <row r="165" spans="1:12" x14ac:dyDescent="0.3">
      <c r="A165" s="5" t="s">
        <v>415</v>
      </c>
      <c r="B165" s="6">
        <v>46190</v>
      </c>
      <c r="C165" s="5" t="s">
        <v>44</v>
      </c>
      <c r="D165" s="5" t="s">
        <v>62</v>
      </c>
      <c r="E165" s="5" t="s">
        <v>28</v>
      </c>
      <c r="F165" s="5" t="s">
        <v>29</v>
      </c>
      <c r="G165" s="5">
        <v>6</v>
      </c>
      <c r="H165" s="7">
        <v>400</v>
      </c>
      <c r="I165" s="7">
        <f t="shared" si="6"/>
        <v>2400</v>
      </c>
      <c r="J165" s="5" t="s">
        <v>34</v>
      </c>
      <c r="K165" s="11" t="str">
        <f t="shared" si="7"/>
        <v>juin</v>
      </c>
      <c r="L165" s="11" t="str">
        <f t="shared" si="8"/>
        <v>Non</v>
      </c>
    </row>
    <row r="166" spans="1:12" x14ac:dyDescent="0.3">
      <c r="A166" s="5" t="s">
        <v>418</v>
      </c>
      <c r="B166" s="6">
        <v>46191</v>
      </c>
      <c r="C166" s="5" t="s">
        <v>44</v>
      </c>
      <c r="D166" s="5" t="s">
        <v>62</v>
      </c>
      <c r="E166" s="5" t="s">
        <v>66</v>
      </c>
      <c r="F166" s="5" t="s">
        <v>23</v>
      </c>
      <c r="G166" s="5">
        <v>2</v>
      </c>
      <c r="H166" s="7">
        <v>1200</v>
      </c>
      <c r="I166" s="7">
        <f t="shared" si="6"/>
        <v>2400</v>
      </c>
      <c r="J166" s="5" t="s">
        <v>34</v>
      </c>
      <c r="K166" s="11" t="str">
        <f t="shared" si="7"/>
        <v>juin</v>
      </c>
      <c r="L166" s="11" t="str">
        <f t="shared" si="8"/>
        <v>Non</v>
      </c>
    </row>
    <row r="167" spans="1:12" x14ac:dyDescent="0.3">
      <c r="A167" s="5" t="s">
        <v>74</v>
      </c>
      <c r="B167" s="6">
        <v>46039</v>
      </c>
      <c r="C167" s="5" t="s">
        <v>26</v>
      </c>
      <c r="D167" s="5" t="s">
        <v>38</v>
      </c>
      <c r="E167" s="5" t="s">
        <v>39</v>
      </c>
      <c r="F167" s="5" t="s">
        <v>29</v>
      </c>
      <c r="G167" s="5">
        <v>5</v>
      </c>
      <c r="H167" s="7">
        <v>450</v>
      </c>
      <c r="I167" s="7">
        <f t="shared" si="6"/>
        <v>2250</v>
      </c>
      <c r="J167" s="5" t="s">
        <v>34</v>
      </c>
      <c r="K167" s="11" t="str">
        <f t="shared" si="7"/>
        <v>janvier</v>
      </c>
      <c r="L167" s="11" t="str">
        <f t="shared" si="8"/>
        <v>Non</v>
      </c>
    </row>
    <row r="168" spans="1:12" x14ac:dyDescent="0.3">
      <c r="A168" s="5" t="s">
        <v>88</v>
      </c>
      <c r="B168" s="6">
        <v>46045</v>
      </c>
      <c r="C168" s="5" t="s">
        <v>20</v>
      </c>
      <c r="D168" s="5" t="s">
        <v>21</v>
      </c>
      <c r="E168" s="5" t="s">
        <v>39</v>
      </c>
      <c r="F168" s="5" t="s">
        <v>29</v>
      </c>
      <c r="G168" s="5">
        <v>5</v>
      </c>
      <c r="H168" s="7">
        <v>450</v>
      </c>
      <c r="I168" s="7">
        <f t="shared" si="6"/>
        <v>2250</v>
      </c>
      <c r="J168" s="5" t="s">
        <v>34</v>
      </c>
      <c r="K168" s="11" t="str">
        <f t="shared" si="7"/>
        <v>janvier</v>
      </c>
      <c r="L168" s="11" t="str">
        <f t="shared" si="8"/>
        <v>Non</v>
      </c>
    </row>
    <row r="169" spans="1:12" x14ac:dyDescent="0.3">
      <c r="A169" s="5" t="s">
        <v>115</v>
      </c>
      <c r="B169" s="6">
        <v>46054</v>
      </c>
      <c r="C169" s="5" t="s">
        <v>26</v>
      </c>
      <c r="D169" s="5" t="s">
        <v>27</v>
      </c>
      <c r="E169" s="5" t="s">
        <v>39</v>
      </c>
      <c r="F169" s="5" t="s">
        <v>29</v>
      </c>
      <c r="G169" s="5">
        <v>5</v>
      </c>
      <c r="H169" s="7">
        <v>450</v>
      </c>
      <c r="I169" s="7">
        <f t="shared" si="6"/>
        <v>2250</v>
      </c>
      <c r="J169" s="5" t="s">
        <v>34</v>
      </c>
      <c r="K169" s="11" t="str">
        <f t="shared" si="7"/>
        <v>février</v>
      </c>
      <c r="L169" s="11" t="str">
        <f t="shared" si="8"/>
        <v>Non</v>
      </c>
    </row>
    <row r="170" spans="1:12" x14ac:dyDescent="0.3">
      <c r="A170" s="5" t="s">
        <v>119</v>
      </c>
      <c r="B170" s="6">
        <v>46056</v>
      </c>
      <c r="C170" s="5" t="s">
        <v>44</v>
      </c>
      <c r="D170" s="5" t="s">
        <v>62</v>
      </c>
      <c r="E170" s="5" t="s">
        <v>39</v>
      </c>
      <c r="F170" s="5" t="s">
        <v>29</v>
      </c>
      <c r="G170" s="5">
        <v>5</v>
      </c>
      <c r="H170" s="7">
        <v>450</v>
      </c>
      <c r="I170" s="7">
        <f t="shared" si="6"/>
        <v>2250</v>
      </c>
      <c r="J170" s="5" t="s">
        <v>30</v>
      </c>
      <c r="K170" s="11" t="str">
        <f t="shared" si="7"/>
        <v>février</v>
      </c>
      <c r="L170" s="11" t="str">
        <f t="shared" si="8"/>
        <v>Non</v>
      </c>
    </row>
    <row r="171" spans="1:12" x14ac:dyDescent="0.3">
      <c r="A171" s="5" t="s">
        <v>196</v>
      </c>
      <c r="B171" s="6">
        <v>46094</v>
      </c>
      <c r="C171" s="5" t="s">
        <v>26</v>
      </c>
      <c r="D171" s="5" t="s">
        <v>38</v>
      </c>
      <c r="E171" s="5" t="s">
        <v>39</v>
      </c>
      <c r="F171" s="5" t="s">
        <v>29</v>
      </c>
      <c r="G171" s="5">
        <v>5</v>
      </c>
      <c r="H171" s="7">
        <v>450</v>
      </c>
      <c r="I171" s="7">
        <f t="shared" si="6"/>
        <v>2250</v>
      </c>
      <c r="J171" s="5" t="s">
        <v>34</v>
      </c>
      <c r="K171" s="11" t="str">
        <f t="shared" si="7"/>
        <v>mars</v>
      </c>
      <c r="L171" s="11" t="str">
        <f t="shared" si="8"/>
        <v>Non</v>
      </c>
    </row>
    <row r="172" spans="1:12" x14ac:dyDescent="0.3">
      <c r="A172" s="5" t="s">
        <v>85</v>
      </c>
      <c r="B172" s="6">
        <v>46044</v>
      </c>
      <c r="C172" s="5" t="s">
        <v>20</v>
      </c>
      <c r="D172" s="5" t="s">
        <v>21</v>
      </c>
      <c r="E172" s="5" t="s">
        <v>54</v>
      </c>
      <c r="F172" s="5" t="s">
        <v>47</v>
      </c>
      <c r="G172" s="5">
        <v>3</v>
      </c>
      <c r="H172" s="7">
        <v>700</v>
      </c>
      <c r="I172" s="7">
        <f t="shared" si="6"/>
        <v>2100</v>
      </c>
      <c r="J172" s="5" t="s">
        <v>30</v>
      </c>
      <c r="K172" s="11" t="str">
        <f t="shared" si="7"/>
        <v>janvier</v>
      </c>
      <c r="L172" s="11" t="str">
        <f t="shared" si="8"/>
        <v>Non</v>
      </c>
    </row>
    <row r="173" spans="1:12" x14ac:dyDescent="0.3">
      <c r="A173" s="5" t="s">
        <v>97</v>
      </c>
      <c r="B173" s="6">
        <v>46048</v>
      </c>
      <c r="C173" s="5" t="s">
        <v>44</v>
      </c>
      <c r="D173" s="5" t="s">
        <v>45</v>
      </c>
      <c r="E173" s="5" t="s">
        <v>54</v>
      </c>
      <c r="F173" s="5" t="s">
        <v>47</v>
      </c>
      <c r="G173" s="5">
        <v>3</v>
      </c>
      <c r="H173" s="7">
        <v>700</v>
      </c>
      <c r="I173" s="7">
        <f t="shared" si="6"/>
        <v>2100</v>
      </c>
      <c r="J173" s="5" t="s">
        <v>24</v>
      </c>
      <c r="K173" s="11" t="str">
        <f t="shared" si="7"/>
        <v>janvier</v>
      </c>
      <c r="L173" s="11" t="str">
        <f t="shared" si="8"/>
        <v>Non</v>
      </c>
    </row>
    <row r="174" spans="1:12" x14ac:dyDescent="0.3">
      <c r="A174" s="5" t="s">
        <v>175</v>
      </c>
      <c r="B174" s="6">
        <v>46083</v>
      </c>
      <c r="C174" s="5" t="s">
        <v>20</v>
      </c>
      <c r="D174" s="5" t="s">
        <v>32</v>
      </c>
      <c r="E174" s="5" t="s">
        <v>54</v>
      </c>
      <c r="F174" s="5" t="s">
        <v>47</v>
      </c>
      <c r="G174" s="5">
        <v>3</v>
      </c>
      <c r="H174" s="7">
        <v>700</v>
      </c>
      <c r="I174" s="7">
        <f t="shared" si="6"/>
        <v>2100</v>
      </c>
      <c r="J174" s="5" t="s">
        <v>34</v>
      </c>
      <c r="K174" s="11" t="str">
        <f t="shared" si="7"/>
        <v>mars</v>
      </c>
      <c r="L174" s="11" t="str">
        <f t="shared" si="8"/>
        <v>Non</v>
      </c>
    </row>
    <row r="175" spans="1:12" x14ac:dyDescent="0.3">
      <c r="A175" s="5" t="s">
        <v>280</v>
      </c>
      <c r="B175" s="6">
        <v>46136</v>
      </c>
      <c r="C175" s="5" t="s">
        <v>26</v>
      </c>
      <c r="D175" s="5" t="s">
        <v>38</v>
      </c>
      <c r="E175" s="5" t="s">
        <v>54</v>
      </c>
      <c r="F175" s="5" t="s">
        <v>47</v>
      </c>
      <c r="G175" s="5">
        <v>3</v>
      </c>
      <c r="H175" s="7">
        <v>700</v>
      </c>
      <c r="I175" s="7">
        <f t="shared" si="6"/>
        <v>2100</v>
      </c>
      <c r="J175" s="5" t="s">
        <v>30</v>
      </c>
      <c r="K175" s="11" t="str">
        <f t="shared" si="7"/>
        <v>avril</v>
      </c>
      <c r="L175" s="11" t="str">
        <f t="shared" si="8"/>
        <v>Non</v>
      </c>
    </row>
    <row r="176" spans="1:12" x14ac:dyDescent="0.3">
      <c r="A176" s="5" t="s">
        <v>398</v>
      </c>
      <c r="B176" s="6">
        <v>46186</v>
      </c>
      <c r="C176" s="5" t="s">
        <v>44</v>
      </c>
      <c r="D176" s="5" t="s">
        <v>45</v>
      </c>
      <c r="E176" s="5" t="s">
        <v>54</v>
      </c>
      <c r="F176" s="5" t="s">
        <v>47</v>
      </c>
      <c r="G176" s="5">
        <v>3</v>
      </c>
      <c r="H176" s="7">
        <v>700</v>
      </c>
      <c r="I176" s="7">
        <f t="shared" si="6"/>
        <v>2100</v>
      </c>
      <c r="J176" s="5" t="s">
        <v>30</v>
      </c>
      <c r="K176" s="11" t="str">
        <f t="shared" si="7"/>
        <v>juin</v>
      </c>
      <c r="L176" s="11" t="str">
        <f t="shared" si="8"/>
        <v>Non</v>
      </c>
    </row>
    <row r="177" spans="1:12" x14ac:dyDescent="0.3">
      <c r="A177" s="5" t="s">
        <v>50</v>
      </c>
      <c r="B177" s="6">
        <v>46030</v>
      </c>
      <c r="C177" s="5" t="s">
        <v>26</v>
      </c>
      <c r="D177" s="5" t="s">
        <v>27</v>
      </c>
      <c r="E177" s="5" t="s">
        <v>51</v>
      </c>
      <c r="F177" s="5" t="s">
        <v>52</v>
      </c>
      <c r="G177" s="5">
        <v>4</v>
      </c>
      <c r="H177" s="7">
        <v>500</v>
      </c>
      <c r="I177" s="7">
        <f t="shared" si="6"/>
        <v>2000</v>
      </c>
      <c r="J177" s="5" t="s">
        <v>34</v>
      </c>
      <c r="K177" s="11" t="str">
        <f t="shared" si="7"/>
        <v>janvier</v>
      </c>
      <c r="L177" s="11" t="str">
        <f t="shared" si="8"/>
        <v>Non</v>
      </c>
    </row>
    <row r="178" spans="1:12" x14ac:dyDescent="0.3">
      <c r="A178" s="5" t="s">
        <v>76</v>
      </c>
      <c r="B178" s="6">
        <v>46041</v>
      </c>
      <c r="C178" s="5" t="s">
        <v>44</v>
      </c>
      <c r="D178" s="5" t="s">
        <v>45</v>
      </c>
      <c r="E178" s="5" t="s">
        <v>28</v>
      </c>
      <c r="F178" s="5" t="s">
        <v>29</v>
      </c>
      <c r="G178" s="5">
        <v>5</v>
      </c>
      <c r="H178" s="7">
        <v>400</v>
      </c>
      <c r="I178" s="7">
        <f t="shared" si="6"/>
        <v>2000</v>
      </c>
      <c r="J178" s="5" t="s">
        <v>34</v>
      </c>
      <c r="K178" s="11" t="str">
        <f t="shared" si="7"/>
        <v>janvier</v>
      </c>
      <c r="L178" s="11" t="str">
        <f t="shared" si="8"/>
        <v>Non</v>
      </c>
    </row>
    <row r="179" spans="1:12" x14ac:dyDescent="0.3">
      <c r="A179" s="5" t="s">
        <v>111</v>
      </c>
      <c r="B179" s="6">
        <v>46053</v>
      </c>
      <c r="C179" s="5" t="s">
        <v>44</v>
      </c>
      <c r="D179" s="5" t="s">
        <v>45</v>
      </c>
      <c r="E179" s="5" t="s">
        <v>57</v>
      </c>
      <c r="F179" s="5" t="s">
        <v>52</v>
      </c>
      <c r="G179" s="5">
        <v>2</v>
      </c>
      <c r="H179" s="7">
        <v>1000</v>
      </c>
      <c r="I179" s="7">
        <f t="shared" si="6"/>
        <v>2000</v>
      </c>
      <c r="J179" s="5" t="s">
        <v>34</v>
      </c>
      <c r="K179" s="11" t="str">
        <f t="shared" si="7"/>
        <v>janvier</v>
      </c>
      <c r="L179" s="11" t="str">
        <f t="shared" si="8"/>
        <v>Non</v>
      </c>
    </row>
    <row r="180" spans="1:12" x14ac:dyDescent="0.3">
      <c r="A180" s="5" t="s">
        <v>124</v>
      </c>
      <c r="B180" s="6">
        <v>46058</v>
      </c>
      <c r="C180" s="5" t="s">
        <v>20</v>
      </c>
      <c r="D180" s="5" t="s">
        <v>32</v>
      </c>
      <c r="E180" s="5" t="s">
        <v>28</v>
      </c>
      <c r="F180" s="5" t="s">
        <v>29</v>
      </c>
      <c r="G180" s="5">
        <v>5</v>
      </c>
      <c r="H180" s="7">
        <v>400</v>
      </c>
      <c r="I180" s="7">
        <f t="shared" si="6"/>
        <v>2000</v>
      </c>
      <c r="J180" s="5" t="s">
        <v>34</v>
      </c>
      <c r="K180" s="11" t="str">
        <f t="shared" si="7"/>
        <v>février</v>
      </c>
      <c r="L180" s="11" t="str">
        <f t="shared" si="8"/>
        <v>Non</v>
      </c>
    </row>
    <row r="181" spans="1:12" x14ac:dyDescent="0.3">
      <c r="A181" s="5" t="s">
        <v>140</v>
      </c>
      <c r="B181" s="6">
        <v>46063</v>
      </c>
      <c r="C181" s="5" t="s">
        <v>20</v>
      </c>
      <c r="D181" s="5" t="s">
        <v>21</v>
      </c>
      <c r="E181" s="5" t="s">
        <v>57</v>
      </c>
      <c r="F181" s="5" t="s">
        <v>52</v>
      </c>
      <c r="G181" s="5">
        <v>2</v>
      </c>
      <c r="H181" s="7">
        <v>1000</v>
      </c>
      <c r="I181" s="7">
        <f t="shared" si="6"/>
        <v>2000</v>
      </c>
      <c r="J181" s="5" t="s">
        <v>30</v>
      </c>
      <c r="K181" s="11" t="str">
        <f t="shared" si="7"/>
        <v>février</v>
      </c>
      <c r="L181" s="11" t="str">
        <f t="shared" si="8"/>
        <v>Non</v>
      </c>
    </row>
    <row r="182" spans="1:12" x14ac:dyDescent="0.3">
      <c r="A182" s="5" t="s">
        <v>159</v>
      </c>
      <c r="B182" s="6">
        <v>46072</v>
      </c>
      <c r="C182" s="5" t="s">
        <v>20</v>
      </c>
      <c r="D182" s="5" t="s">
        <v>21</v>
      </c>
      <c r="E182" s="5" t="s">
        <v>57</v>
      </c>
      <c r="F182" s="5" t="s">
        <v>52</v>
      </c>
      <c r="G182" s="5">
        <v>2</v>
      </c>
      <c r="H182" s="7">
        <v>1000</v>
      </c>
      <c r="I182" s="7">
        <f t="shared" si="6"/>
        <v>2000</v>
      </c>
      <c r="J182" s="5" t="s">
        <v>30</v>
      </c>
      <c r="K182" s="11" t="str">
        <f t="shared" si="7"/>
        <v>février</v>
      </c>
      <c r="L182" s="11" t="str">
        <f t="shared" si="8"/>
        <v>Non</v>
      </c>
    </row>
    <row r="183" spans="1:12" x14ac:dyDescent="0.3">
      <c r="A183" s="5" t="s">
        <v>173</v>
      </c>
      <c r="B183" s="6">
        <v>46082</v>
      </c>
      <c r="C183" s="5" t="s">
        <v>26</v>
      </c>
      <c r="D183" s="5" t="s">
        <v>38</v>
      </c>
      <c r="E183" s="5" t="s">
        <v>28</v>
      </c>
      <c r="F183" s="5" t="s">
        <v>29</v>
      </c>
      <c r="G183" s="5">
        <v>5</v>
      </c>
      <c r="H183" s="7">
        <v>400</v>
      </c>
      <c r="I183" s="7">
        <f t="shared" si="6"/>
        <v>2000</v>
      </c>
      <c r="J183" s="5" t="s">
        <v>30</v>
      </c>
      <c r="K183" s="11" t="str">
        <f t="shared" si="7"/>
        <v>mars</v>
      </c>
      <c r="L183" s="11" t="str">
        <f t="shared" si="8"/>
        <v>Non</v>
      </c>
    </row>
    <row r="184" spans="1:12" x14ac:dyDescent="0.3">
      <c r="A184" s="5" t="s">
        <v>188</v>
      </c>
      <c r="B184" s="6">
        <v>46092</v>
      </c>
      <c r="C184" s="5" t="s">
        <v>20</v>
      </c>
      <c r="D184" s="5" t="s">
        <v>21</v>
      </c>
      <c r="E184" s="5" t="s">
        <v>57</v>
      </c>
      <c r="F184" s="5" t="s">
        <v>52</v>
      </c>
      <c r="G184" s="5">
        <v>2</v>
      </c>
      <c r="H184" s="7">
        <v>1000</v>
      </c>
      <c r="I184" s="7">
        <f t="shared" si="6"/>
        <v>2000</v>
      </c>
      <c r="J184" s="5" t="s">
        <v>34</v>
      </c>
      <c r="K184" s="11" t="str">
        <f t="shared" si="7"/>
        <v>mars</v>
      </c>
      <c r="L184" s="11" t="str">
        <f t="shared" si="8"/>
        <v>Non</v>
      </c>
    </row>
    <row r="185" spans="1:12" x14ac:dyDescent="0.3">
      <c r="A185" s="5" t="s">
        <v>224</v>
      </c>
      <c r="B185" s="6">
        <v>46110</v>
      </c>
      <c r="C185" s="5" t="s">
        <v>26</v>
      </c>
      <c r="D185" s="5" t="s">
        <v>38</v>
      </c>
      <c r="E185" s="5" t="s">
        <v>70</v>
      </c>
      <c r="F185" s="5" t="s">
        <v>52</v>
      </c>
      <c r="G185" s="5">
        <v>5</v>
      </c>
      <c r="H185" s="7">
        <v>400</v>
      </c>
      <c r="I185" s="7">
        <f t="shared" si="6"/>
        <v>2000</v>
      </c>
      <c r="J185" s="5" t="s">
        <v>34</v>
      </c>
      <c r="K185" s="11" t="str">
        <f t="shared" si="7"/>
        <v>mars</v>
      </c>
      <c r="L185" s="11" t="str">
        <f t="shared" si="8"/>
        <v>Non</v>
      </c>
    </row>
    <row r="186" spans="1:12" x14ac:dyDescent="0.3">
      <c r="A186" s="5" t="s">
        <v>262</v>
      </c>
      <c r="B186" s="6">
        <v>46128</v>
      </c>
      <c r="C186" s="5" t="s">
        <v>20</v>
      </c>
      <c r="D186" s="5" t="s">
        <v>21</v>
      </c>
      <c r="E186" s="5" t="s">
        <v>51</v>
      </c>
      <c r="F186" s="5" t="s">
        <v>52</v>
      </c>
      <c r="G186" s="5">
        <v>4</v>
      </c>
      <c r="H186" s="7">
        <v>500</v>
      </c>
      <c r="I186" s="7">
        <f t="shared" si="6"/>
        <v>2000</v>
      </c>
      <c r="J186" s="5" t="s">
        <v>30</v>
      </c>
      <c r="K186" s="11" t="str">
        <f t="shared" si="7"/>
        <v>avril</v>
      </c>
      <c r="L186" s="11" t="str">
        <f t="shared" si="8"/>
        <v>Non</v>
      </c>
    </row>
    <row r="187" spans="1:12" x14ac:dyDescent="0.3">
      <c r="A187" s="5" t="s">
        <v>264</v>
      </c>
      <c r="B187" s="6">
        <v>46130</v>
      </c>
      <c r="C187" s="5" t="s">
        <v>44</v>
      </c>
      <c r="D187" s="5" t="s">
        <v>45</v>
      </c>
      <c r="E187" s="5" t="s">
        <v>57</v>
      </c>
      <c r="F187" s="5" t="s">
        <v>52</v>
      </c>
      <c r="G187" s="5">
        <v>2</v>
      </c>
      <c r="H187" s="7">
        <v>1000</v>
      </c>
      <c r="I187" s="7">
        <f t="shared" si="6"/>
        <v>2000</v>
      </c>
      <c r="J187" s="5" t="s">
        <v>34</v>
      </c>
      <c r="K187" s="11" t="str">
        <f t="shared" si="7"/>
        <v>avril</v>
      </c>
      <c r="L187" s="11" t="str">
        <f t="shared" si="8"/>
        <v>Non</v>
      </c>
    </row>
    <row r="188" spans="1:12" x14ac:dyDescent="0.3">
      <c r="A188" s="5" t="s">
        <v>267</v>
      </c>
      <c r="B188" s="6">
        <v>46131</v>
      </c>
      <c r="C188" s="5" t="s">
        <v>44</v>
      </c>
      <c r="D188" s="5" t="s">
        <v>45</v>
      </c>
      <c r="E188" s="5" t="s">
        <v>51</v>
      </c>
      <c r="F188" s="5" t="s">
        <v>52</v>
      </c>
      <c r="G188" s="5">
        <v>4</v>
      </c>
      <c r="H188" s="7">
        <v>500</v>
      </c>
      <c r="I188" s="7">
        <f t="shared" si="6"/>
        <v>2000</v>
      </c>
      <c r="J188" s="5" t="s">
        <v>34</v>
      </c>
      <c r="K188" s="11" t="str">
        <f t="shared" si="7"/>
        <v>avril</v>
      </c>
      <c r="L188" s="11" t="str">
        <f t="shared" si="8"/>
        <v>Non</v>
      </c>
    </row>
    <row r="189" spans="1:12" x14ac:dyDescent="0.3">
      <c r="A189" s="5" t="s">
        <v>276</v>
      </c>
      <c r="B189" s="6">
        <v>46135</v>
      </c>
      <c r="C189" s="5" t="s">
        <v>26</v>
      </c>
      <c r="D189" s="5" t="s">
        <v>38</v>
      </c>
      <c r="E189" s="5" t="s">
        <v>57</v>
      </c>
      <c r="F189" s="5" t="s">
        <v>52</v>
      </c>
      <c r="G189" s="5">
        <v>2</v>
      </c>
      <c r="H189" s="7">
        <v>1000</v>
      </c>
      <c r="I189" s="7">
        <f t="shared" si="6"/>
        <v>2000</v>
      </c>
      <c r="J189" s="5" t="s">
        <v>30</v>
      </c>
      <c r="K189" s="11" t="str">
        <f t="shared" si="7"/>
        <v>avril</v>
      </c>
      <c r="L189" s="11" t="str">
        <f t="shared" si="8"/>
        <v>Non</v>
      </c>
    </row>
    <row r="190" spans="1:12" x14ac:dyDescent="0.3">
      <c r="A190" s="5" t="s">
        <v>283</v>
      </c>
      <c r="B190" s="6">
        <v>46137</v>
      </c>
      <c r="C190" s="5" t="s">
        <v>26</v>
      </c>
      <c r="D190" s="5" t="s">
        <v>27</v>
      </c>
      <c r="E190" s="5" t="s">
        <v>28</v>
      </c>
      <c r="F190" s="5" t="s">
        <v>29</v>
      </c>
      <c r="G190" s="5">
        <v>5</v>
      </c>
      <c r="H190" s="7">
        <v>400</v>
      </c>
      <c r="I190" s="7">
        <f t="shared" si="6"/>
        <v>2000</v>
      </c>
      <c r="J190" s="5" t="s">
        <v>24</v>
      </c>
      <c r="K190" s="11" t="str">
        <f t="shared" si="7"/>
        <v>avril</v>
      </c>
      <c r="L190" s="11" t="str">
        <f t="shared" si="8"/>
        <v>Non</v>
      </c>
    </row>
    <row r="191" spans="1:12" x14ac:dyDescent="0.3">
      <c r="A191" s="5" t="s">
        <v>292</v>
      </c>
      <c r="B191" s="6">
        <v>46141</v>
      </c>
      <c r="C191" s="5" t="s">
        <v>44</v>
      </c>
      <c r="D191" s="5" t="s">
        <v>62</v>
      </c>
      <c r="E191" s="5" t="s">
        <v>57</v>
      </c>
      <c r="F191" s="5" t="s">
        <v>52</v>
      </c>
      <c r="G191" s="5">
        <v>2</v>
      </c>
      <c r="H191" s="7">
        <v>1000</v>
      </c>
      <c r="I191" s="7">
        <f t="shared" si="6"/>
        <v>2000</v>
      </c>
      <c r="J191" s="5" t="s">
        <v>30</v>
      </c>
      <c r="K191" s="11" t="str">
        <f t="shared" si="7"/>
        <v>avril</v>
      </c>
      <c r="L191" s="11" t="str">
        <f t="shared" si="8"/>
        <v>Non</v>
      </c>
    </row>
    <row r="192" spans="1:12" x14ac:dyDescent="0.3">
      <c r="A192" s="5" t="s">
        <v>384</v>
      </c>
      <c r="B192" s="6">
        <v>46181</v>
      </c>
      <c r="C192" s="5" t="s">
        <v>26</v>
      </c>
      <c r="D192" s="5" t="s">
        <v>27</v>
      </c>
      <c r="E192" s="5" t="s">
        <v>28</v>
      </c>
      <c r="F192" s="5" t="s">
        <v>29</v>
      </c>
      <c r="G192" s="5">
        <v>5</v>
      </c>
      <c r="H192" s="7">
        <v>400</v>
      </c>
      <c r="I192" s="7">
        <f t="shared" si="6"/>
        <v>2000</v>
      </c>
      <c r="J192" s="5" t="s">
        <v>30</v>
      </c>
      <c r="K192" s="11" t="str">
        <f t="shared" si="7"/>
        <v>juin</v>
      </c>
      <c r="L192" s="11" t="str">
        <f t="shared" si="8"/>
        <v>Non</v>
      </c>
    </row>
    <row r="193" spans="1:12" x14ac:dyDescent="0.3">
      <c r="A193" s="5" t="s">
        <v>31</v>
      </c>
      <c r="B193" s="6">
        <v>46025</v>
      </c>
      <c r="C193" s="5" t="s">
        <v>20</v>
      </c>
      <c r="D193" s="5" t="s">
        <v>32</v>
      </c>
      <c r="E193" s="5" t="s">
        <v>33</v>
      </c>
      <c r="F193" s="5" t="s">
        <v>23</v>
      </c>
      <c r="G193" s="5">
        <v>3</v>
      </c>
      <c r="H193" s="7">
        <v>600</v>
      </c>
      <c r="I193" s="7">
        <f t="shared" si="6"/>
        <v>1800</v>
      </c>
      <c r="J193" s="5" t="s">
        <v>34</v>
      </c>
      <c r="K193" s="11" t="str">
        <f t="shared" si="7"/>
        <v>janvier</v>
      </c>
      <c r="L193" s="11" t="str">
        <f t="shared" si="8"/>
        <v>Non</v>
      </c>
    </row>
    <row r="194" spans="1:12" x14ac:dyDescent="0.3">
      <c r="A194" s="5" t="s">
        <v>37</v>
      </c>
      <c r="B194" s="6">
        <v>46027</v>
      </c>
      <c r="C194" s="5" t="s">
        <v>26</v>
      </c>
      <c r="D194" s="5" t="s">
        <v>38</v>
      </c>
      <c r="E194" s="5" t="s">
        <v>39</v>
      </c>
      <c r="F194" s="5" t="s">
        <v>29</v>
      </c>
      <c r="G194" s="5">
        <v>4</v>
      </c>
      <c r="H194" s="7">
        <v>450</v>
      </c>
      <c r="I194" s="7">
        <f t="shared" ref="I194:I257" si="9">G194*H194</f>
        <v>1800</v>
      </c>
      <c r="J194" s="5" t="s">
        <v>30</v>
      </c>
      <c r="K194" s="11" t="str">
        <f t="shared" si="7"/>
        <v>janvier</v>
      </c>
      <c r="L194" s="11" t="str">
        <f t="shared" si="8"/>
        <v>Non</v>
      </c>
    </row>
    <row r="195" spans="1:12" x14ac:dyDescent="0.3">
      <c r="A195" s="5" t="s">
        <v>189</v>
      </c>
      <c r="B195" s="6">
        <v>46092</v>
      </c>
      <c r="C195" s="5" t="s">
        <v>44</v>
      </c>
      <c r="D195" s="5" t="s">
        <v>62</v>
      </c>
      <c r="E195" s="5" t="s">
        <v>33</v>
      </c>
      <c r="F195" s="5" t="s">
        <v>23</v>
      </c>
      <c r="G195" s="5">
        <v>3</v>
      </c>
      <c r="H195" s="7">
        <v>600</v>
      </c>
      <c r="I195" s="7">
        <f t="shared" si="9"/>
        <v>1800</v>
      </c>
      <c r="J195" s="5" t="s">
        <v>34</v>
      </c>
      <c r="K195" s="11" t="str">
        <f t="shared" ref="K195:K258" si="10">TEXT(B195,"mmmm")</f>
        <v>mars</v>
      </c>
      <c r="L195" s="11" t="str">
        <f t="shared" ref="L195:L258" si="11">IF(I195&gt;5000,"Oui","Non")</f>
        <v>Non</v>
      </c>
    </row>
    <row r="196" spans="1:12" x14ac:dyDescent="0.3">
      <c r="A196" s="5" t="s">
        <v>194</v>
      </c>
      <c r="B196" s="6">
        <v>46093</v>
      </c>
      <c r="C196" s="5" t="s">
        <v>20</v>
      </c>
      <c r="D196" s="5" t="s">
        <v>32</v>
      </c>
      <c r="E196" s="5" t="s">
        <v>46</v>
      </c>
      <c r="F196" s="5" t="s">
        <v>47</v>
      </c>
      <c r="G196" s="5">
        <v>6</v>
      </c>
      <c r="H196" s="7">
        <v>300</v>
      </c>
      <c r="I196" s="7">
        <f t="shared" si="9"/>
        <v>1800</v>
      </c>
      <c r="J196" s="5" t="s">
        <v>34</v>
      </c>
      <c r="K196" s="11" t="str">
        <f t="shared" si="10"/>
        <v>mars</v>
      </c>
      <c r="L196" s="11" t="str">
        <f t="shared" si="11"/>
        <v>Non</v>
      </c>
    </row>
    <row r="197" spans="1:12" x14ac:dyDescent="0.3">
      <c r="A197" s="5" t="s">
        <v>217</v>
      </c>
      <c r="B197" s="6">
        <v>46108</v>
      </c>
      <c r="C197" s="5" t="s">
        <v>26</v>
      </c>
      <c r="D197" s="5" t="s">
        <v>27</v>
      </c>
      <c r="E197" s="5" t="s">
        <v>33</v>
      </c>
      <c r="F197" s="5" t="s">
        <v>23</v>
      </c>
      <c r="G197" s="5">
        <v>3</v>
      </c>
      <c r="H197" s="7">
        <v>600</v>
      </c>
      <c r="I197" s="7">
        <f t="shared" si="9"/>
        <v>1800</v>
      </c>
      <c r="J197" s="5" t="s">
        <v>34</v>
      </c>
      <c r="K197" s="11" t="str">
        <f t="shared" si="10"/>
        <v>mars</v>
      </c>
      <c r="L197" s="11" t="str">
        <f t="shared" si="11"/>
        <v>Non</v>
      </c>
    </row>
    <row r="198" spans="1:12" x14ac:dyDescent="0.3">
      <c r="A198" s="5" t="s">
        <v>251</v>
      </c>
      <c r="B198" s="6">
        <v>46124</v>
      </c>
      <c r="C198" s="5" t="s">
        <v>44</v>
      </c>
      <c r="D198" s="5" t="s">
        <v>62</v>
      </c>
      <c r="E198" s="5" t="s">
        <v>39</v>
      </c>
      <c r="F198" s="5" t="s">
        <v>29</v>
      </c>
      <c r="G198" s="5">
        <v>4</v>
      </c>
      <c r="H198" s="7">
        <v>450</v>
      </c>
      <c r="I198" s="7">
        <f t="shared" si="9"/>
        <v>1800</v>
      </c>
      <c r="J198" s="5" t="s">
        <v>24</v>
      </c>
      <c r="K198" s="11" t="str">
        <f t="shared" si="10"/>
        <v>avril</v>
      </c>
      <c r="L198" s="11" t="str">
        <f t="shared" si="11"/>
        <v>Non</v>
      </c>
    </row>
    <row r="199" spans="1:12" x14ac:dyDescent="0.3">
      <c r="A199" s="5" t="s">
        <v>272</v>
      </c>
      <c r="B199" s="6">
        <v>46134</v>
      </c>
      <c r="C199" s="5" t="s">
        <v>26</v>
      </c>
      <c r="D199" s="5" t="s">
        <v>38</v>
      </c>
      <c r="E199" s="5" t="s">
        <v>46</v>
      </c>
      <c r="F199" s="5" t="s">
        <v>47</v>
      </c>
      <c r="G199" s="5">
        <v>6</v>
      </c>
      <c r="H199" s="7">
        <v>300</v>
      </c>
      <c r="I199" s="7">
        <f t="shared" si="9"/>
        <v>1800</v>
      </c>
      <c r="J199" s="5" t="s">
        <v>30</v>
      </c>
      <c r="K199" s="11" t="str">
        <f t="shared" si="10"/>
        <v>avril</v>
      </c>
      <c r="L199" s="11" t="str">
        <f t="shared" si="11"/>
        <v>Non</v>
      </c>
    </row>
    <row r="200" spans="1:12" x14ac:dyDescent="0.3">
      <c r="A200" s="5" t="s">
        <v>325</v>
      </c>
      <c r="B200" s="6">
        <v>46158</v>
      </c>
      <c r="C200" s="5" t="s">
        <v>44</v>
      </c>
      <c r="D200" s="5" t="s">
        <v>45</v>
      </c>
      <c r="E200" s="5" t="s">
        <v>33</v>
      </c>
      <c r="F200" s="5" t="s">
        <v>23</v>
      </c>
      <c r="G200" s="5">
        <v>3</v>
      </c>
      <c r="H200" s="7">
        <v>600</v>
      </c>
      <c r="I200" s="7">
        <f t="shared" si="9"/>
        <v>1800</v>
      </c>
      <c r="J200" s="5" t="s">
        <v>34</v>
      </c>
      <c r="K200" s="11" t="str">
        <f t="shared" si="10"/>
        <v>mai</v>
      </c>
      <c r="L200" s="11" t="str">
        <f t="shared" si="11"/>
        <v>Non</v>
      </c>
    </row>
    <row r="201" spans="1:12" x14ac:dyDescent="0.3">
      <c r="A201" s="5" t="s">
        <v>351</v>
      </c>
      <c r="B201" s="6">
        <v>46167</v>
      </c>
      <c r="C201" s="5" t="s">
        <v>26</v>
      </c>
      <c r="D201" s="5" t="s">
        <v>38</v>
      </c>
      <c r="E201" s="5" t="s">
        <v>73</v>
      </c>
      <c r="F201" s="5" t="s">
        <v>47</v>
      </c>
      <c r="G201" s="5">
        <v>2</v>
      </c>
      <c r="H201" s="7">
        <v>900</v>
      </c>
      <c r="I201" s="7">
        <f t="shared" si="9"/>
        <v>1800</v>
      </c>
      <c r="J201" s="5" t="s">
        <v>30</v>
      </c>
      <c r="K201" s="11" t="str">
        <f t="shared" si="10"/>
        <v>mai</v>
      </c>
      <c r="L201" s="11" t="str">
        <f t="shared" si="11"/>
        <v>Non</v>
      </c>
    </row>
    <row r="202" spans="1:12" x14ac:dyDescent="0.3">
      <c r="A202" s="5" t="s">
        <v>367</v>
      </c>
      <c r="B202" s="6">
        <v>46173</v>
      </c>
      <c r="C202" s="5" t="s">
        <v>20</v>
      </c>
      <c r="D202" s="5" t="s">
        <v>21</v>
      </c>
      <c r="E202" s="5" t="s">
        <v>73</v>
      </c>
      <c r="F202" s="5" t="s">
        <v>47</v>
      </c>
      <c r="G202" s="5">
        <v>2</v>
      </c>
      <c r="H202" s="7">
        <v>900</v>
      </c>
      <c r="I202" s="7">
        <f t="shared" si="9"/>
        <v>1800</v>
      </c>
      <c r="J202" s="5" t="s">
        <v>34</v>
      </c>
      <c r="K202" s="11" t="str">
        <f t="shared" si="10"/>
        <v>mai</v>
      </c>
      <c r="L202" s="11" t="str">
        <f t="shared" si="11"/>
        <v>Non</v>
      </c>
    </row>
    <row r="203" spans="1:12" x14ac:dyDescent="0.3">
      <c r="A203" s="5" t="s">
        <v>390</v>
      </c>
      <c r="B203" s="6">
        <v>46183</v>
      </c>
      <c r="C203" s="5" t="s">
        <v>26</v>
      </c>
      <c r="D203" s="5" t="s">
        <v>27</v>
      </c>
      <c r="E203" s="5" t="s">
        <v>73</v>
      </c>
      <c r="F203" s="5" t="s">
        <v>47</v>
      </c>
      <c r="G203" s="5">
        <v>2</v>
      </c>
      <c r="H203" s="7">
        <v>900</v>
      </c>
      <c r="I203" s="7">
        <f t="shared" si="9"/>
        <v>1800</v>
      </c>
      <c r="J203" s="5" t="s">
        <v>24</v>
      </c>
      <c r="K203" s="11" t="str">
        <f t="shared" si="10"/>
        <v>juin</v>
      </c>
      <c r="L203" s="11" t="str">
        <f t="shared" si="11"/>
        <v>Non</v>
      </c>
    </row>
    <row r="204" spans="1:12" x14ac:dyDescent="0.3">
      <c r="A204" s="5" t="s">
        <v>397</v>
      </c>
      <c r="B204" s="6">
        <v>46186</v>
      </c>
      <c r="C204" s="5" t="s">
        <v>26</v>
      </c>
      <c r="D204" s="5" t="s">
        <v>27</v>
      </c>
      <c r="E204" s="5" t="s">
        <v>73</v>
      </c>
      <c r="F204" s="5" t="s">
        <v>47</v>
      </c>
      <c r="G204" s="5">
        <v>2</v>
      </c>
      <c r="H204" s="7">
        <v>900</v>
      </c>
      <c r="I204" s="7">
        <f t="shared" si="9"/>
        <v>1800</v>
      </c>
      <c r="J204" s="5" t="s">
        <v>34</v>
      </c>
      <c r="K204" s="11" t="str">
        <f t="shared" si="10"/>
        <v>juin</v>
      </c>
      <c r="L204" s="11" t="str">
        <f t="shared" si="11"/>
        <v>Non</v>
      </c>
    </row>
    <row r="205" spans="1:12" x14ac:dyDescent="0.3">
      <c r="A205" s="5" t="s">
        <v>442</v>
      </c>
      <c r="B205" s="6">
        <v>46201</v>
      </c>
      <c r="C205" s="5" t="s">
        <v>20</v>
      </c>
      <c r="D205" s="5" t="s">
        <v>32</v>
      </c>
      <c r="E205" s="5" t="s">
        <v>39</v>
      </c>
      <c r="F205" s="5" t="s">
        <v>29</v>
      </c>
      <c r="G205" s="5">
        <v>4</v>
      </c>
      <c r="H205" s="7">
        <v>450</v>
      </c>
      <c r="I205" s="7">
        <f t="shared" si="9"/>
        <v>1800</v>
      </c>
      <c r="J205" s="5" t="s">
        <v>30</v>
      </c>
      <c r="K205" s="11" t="str">
        <f t="shared" si="10"/>
        <v>juin</v>
      </c>
      <c r="L205" s="11" t="str">
        <f t="shared" si="11"/>
        <v>Non</v>
      </c>
    </row>
    <row r="206" spans="1:12" x14ac:dyDescent="0.3">
      <c r="A206" s="5" t="s">
        <v>42</v>
      </c>
      <c r="B206" s="6">
        <v>46027</v>
      </c>
      <c r="C206" s="5" t="s">
        <v>20</v>
      </c>
      <c r="D206" s="5" t="s">
        <v>21</v>
      </c>
      <c r="E206" s="5" t="s">
        <v>36</v>
      </c>
      <c r="F206" s="5" t="s">
        <v>29</v>
      </c>
      <c r="G206" s="5">
        <v>2</v>
      </c>
      <c r="H206" s="7">
        <v>800</v>
      </c>
      <c r="I206" s="7">
        <f t="shared" si="9"/>
        <v>1600</v>
      </c>
      <c r="J206" s="5" t="s">
        <v>34</v>
      </c>
      <c r="K206" s="11" t="str">
        <f t="shared" si="10"/>
        <v>janvier</v>
      </c>
      <c r="L206" s="11" t="str">
        <f t="shared" si="11"/>
        <v>Non</v>
      </c>
    </row>
    <row r="207" spans="1:12" x14ac:dyDescent="0.3">
      <c r="A207" s="5" t="s">
        <v>145</v>
      </c>
      <c r="B207" s="6">
        <v>46066</v>
      </c>
      <c r="C207" s="5" t="s">
        <v>44</v>
      </c>
      <c r="D207" s="5" t="s">
        <v>62</v>
      </c>
      <c r="E207" s="5" t="s">
        <v>36</v>
      </c>
      <c r="F207" s="5" t="s">
        <v>29</v>
      </c>
      <c r="G207" s="5">
        <v>2</v>
      </c>
      <c r="H207" s="7">
        <v>800</v>
      </c>
      <c r="I207" s="7">
        <f t="shared" si="9"/>
        <v>1600</v>
      </c>
      <c r="J207" s="5" t="s">
        <v>34</v>
      </c>
      <c r="K207" s="11" t="str">
        <f t="shared" si="10"/>
        <v>février</v>
      </c>
      <c r="L207" s="11" t="str">
        <f t="shared" si="11"/>
        <v>Non</v>
      </c>
    </row>
    <row r="208" spans="1:12" x14ac:dyDescent="0.3">
      <c r="A208" s="5" t="s">
        <v>185</v>
      </c>
      <c r="B208" s="6">
        <v>46090</v>
      </c>
      <c r="C208" s="5" t="s">
        <v>44</v>
      </c>
      <c r="D208" s="5" t="s">
        <v>45</v>
      </c>
      <c r="E208" s="5" t="s">
        <v>36</v>
      </c>
      <c r="F208" s="5" t="s">
        <v>29</v>
      </c>
      <c r="G208" s="5">
        <v>2</v>
      </c>
      <c r="H208" s="7">
        <v>800</v>
      </c>
      <c r="I208" s="7">
        <f t="shared" si="9"/>
        <v>1600</v>
      </c>
      <c r="J208" s="5" t="s">
        <v>34</v>
      </c>
      <c r="K208" s="11" t="str">
        <f t="shared" si="10"/>
        <v>mars</v>
      </c>
      <c r="L208" s="11" t="str">
        <f t="shared" si="11"/>
        <v>Non</v>
      </c>
    </row>
    <row r="209" spans="1:12" x14ac:dyDescent="0.3">
      <c r="A209" s="5" t="s">
        <v>245</v>
      </c>
      <c r="B209" s="6">
        <v>46122</v>
      </c>
      <c r="C209" s="5" t="s">
        <v>20</v>
      </c>
      <c r="D209" s="5" t="s">
        <v>21</v>
      </c>
      <c r="E209" s="5" t="s">
        <v>28</v>
      </c>
      <c r="F209" s="5" t="s">
        <v>29</v>
      </c>
      <c r="G209" s="5">
        <v>4</v>
      </c>
      <c r="H209" s="7">
        <v>400</v>
      </c>
      <c r="I209" s="7">
        <f t="shared" si="9"/>
        <v>1600</v>
      </c>
      <c r="J209" s="5" t="s">
        <v>30</v>
      </c>
      <c r="K209" s="11" t="str">
        <f t="shared" si="10"/>
        <v>avril</v>
      </c>
      <c r="L209" s="11" t="str">
        <f t="shared" si="11"/>
        <v>Non</v>
      </c>
    </row>
    <row r="210" spans="1:12" x14ac:dyDescent="0.3">
      <c r="A210" s="5" t="s">
        <v>291</v>
      </c>
      <c r="B210" s="6">
        <v>46141</v>
      </c>
      <c r="C210" s="5" t="s">
        <v>26</v>
      </c>
      <c r="D210" s="5" t="s">
        <v>27</v>
      </c>
      <c r="E210" s="5" t="s">
        <v>28</v>
      </c>
      <c r="F210" s="5" t="s">
        <v>29</v>
      </c>
      <c r="G210" s="5">
        <v>4</v>
      </c>
      <c r="H210" s="7">
        <v>400</v>
      </c>
      <c r="I210" s="7">
        <f t="shared" si="9"/>
        <v>1600</v>
      </c>
      <c r="J210" s="5" t="s">
        <v>34</v>
      </c>
      <c r="K210" s="11" t="str">
        <f t="shared" si="10"/>
        <v>avril</v>
      </c>
      <c r="L210" s="11" t="str">
        <f t="shared" si="11"/>
        <v>Non</v>
      </c>
    </row>
    <row r="211" spans="1:12" x14ac:dyDescent="0.3">
      <c r="A211" s="5" t="s">
        <v>315</v>
      </c>
      <c r="B211" s="6">
        <v>46151</v>
      </c>
      <c r="C211" s="5" t="s">
        <v>44</v>
      </c>
      <c r="D211" s="5" t="s">
        <v>62</v>
      </c>
      <c r="E211" s="5" t="s">
        <v>36</v>
      </c>
      <c r="F211" s="5" t="s">
        <v>29</v>
      </c>
      <c r="G211" s="5">
        <v>2</v>
      </c>
      <c r="H211" s="7">
        <v>800</v>
      </c>
      <c r="I211" s="7">
        <f t="shared" si="9"/>
        <v>1600</v>
      </c>
      <c r="J211" s="5" t="s">
        <v>30</v>
      </c>
      <c r="K211" s="11" t="str">
        <f t="shared" si="10"/>
        <v>mai</v>
      </c>
      <c r="L211" s="11" t="str">
        <f t="shared" si="11"/>
        <v>Non</v>
      </c>
    </row>
    <row r="212" spans="1:12" x14ac:dyDescent="0.3">
      <c r="A212" s="5" t="s">
        <v>333</v>
      </c>
      <c r="B212" s="6">
        <v>46161</v>
      </c>
      <c r="C212" s="5" t="s">
        <v>26</v>
      </c>
      <c r="D212" s="5" t="s">
        <v>27</v>
      </c>
      <c r="E212" s="5" t="s">
        <v>36</v>
      </c>
      <c r="F212" s="5" t="s">
        <v>29</v>
      </c>
      <c r="G212" s="5">
        <v>2</v>
      </c>
      <c r="H212" s="7">
        <v>800</v>
      </c>
      <c r="I212" s="7">
        <f t="shared" si="9"/>
        <v>1600</v>
      </c>
      <c r="J212" s="5" t="s">
        <v>34</v>
      </c>
      <c r="K212" s="11" t="str">
        <f t="shared" si="10"/>
        <v>mai</v>
      </c>
      <c r="L212" s="11" t="str">
        <f t="shared" si="11"/>
        <v>Non</v>
      </c>
    </row>
    <row r="213" spans="1:12" x14ac:dyDescent="0.3">
      <c r="A213" s="5" t="s">
        <v>345</v>
      </c>
      <c r="B213" s="6">
        <v>46165</v>
      </c>
      <c r="C213" s="5" t="s">
        <v>44</v>
      </c>
      <c r="D213" s="5" t="s">
        <v>62</v>
      </c>
      <c r="E213" s="5" t="s">
        <v>36</v>
      </c>
      <c r="F213" s="5" t="s">
        <v>29</v>
      </c>
      <c r="G213" s="5">
        <v>2</v>
      </c>
      <c r="H213" s="7">
        <v>800</v>
      </c>
      <c r="I213" s="7">
        <f t="shared" si="9"/>
        <v>1600</v>
      </c>
      <c r="J213" s="5" t="s">
        <v>34</v>
      </c>
      <c r="K213" s="11" t="str">
        <f t="shared" si="10"/>
        <v>mai</v>
      </c>
      <c r="L213" s="11" t="str">
        <f t="shared" si="11"/>
        <v>Non</v>
      </c>
    </row>
    <row r="214" spans="1:12" x14ac:dyDescent="0.3">
      <c r="A214" s="5" t="s">
        <v>350</v>
      </c>
      <c r="B214" s="6">
        <v>46166</v>
      </c>
      <c r="C214" s="5" t="s">
        <v>20</v>
      </c>
      <c r="D214" s="5" t="s">
        <v>21</v>
      </c>
      <c r="E214" s="5" t="s">
        <v>70</v>
      </c>
      <c r="F214" s="5" t="s">
        <v>52</v>
      </c>
      <c r="G214" s="5">
        <v>4</v>
      </c>
      <c r="H214" s="7">
        <v>400</v>
      </c>
      <c r="I214" s="7">
        <f t="shared" si="9"/>
        <v>1600</v>
      </c>
      <c r="J214" s="5" t="s">
        <v>34</v>
      </c>
      <c r="K214" s="11" t="str">
        <f t="shared" si="10"/>
        <v>mai</v>
      </c>
      <c r="L214" s="11" t="str">
        <f t="shared" si="11"/>
        <v>Non</v>
      </c>
    </row>
    <row r="215" spans="1:12" x14ac:dyDescent="0.3">
      <c r="A215" s="5" t="s">
        <v>396</v>
      </c>
      <c r="B215" s="6">
        <v>46185</v>
      </c>
      <c r="C215" s="5" t="s">
        <v>44</v>
      </c>
      <c r="D215" s="5" t="s">
        <v>62</v>
      </c>
      <c r="E215" s="5" t="s">
        <v>36</v>
      </c>
      <c r="F215" s="5" t="s">
        <v>29</v>
      </c>
      <c r="G215" s="5">
        <v>2</v>
      </c>
      <c r="H215" s="7">
        <v>800</v>
      </c>
      <c r="I215" s="7">
        <f t="shared" si="9"/>
        <v>1600</v>
      </c>
      <c r="J215" s="5" t="s">
        <v>30</v>
      </c>
      <c r="K215" s="11" t="str">
        <f t="shared" si="10"/>
        <v>juin</v>
      </c>
      <c r="L215" s="11" t="str">
        <f t="shared" si="11"/>
        <v>Non</v>
      </c>
    </row>
    <row r="216" spans="1:12" x14ac:dyDescent="0.3">
      <c r="A216" s="5" t="s">
        <v>68</v>
      </c>
      <c r="B216" s="6">
        <v>46036</v>
      </c>
      <c r="C216" s="5" t="s">
        <v>26</v>
      </c>
      <c r="D216" s="5" t="s">
        <v>38</v>
      </c>
      <c r="E216" s="5" t="s">
        <v>46</v>
      </c>
      <c r="F216" s="5" t="s">
        <v>47</v>
      </c>
      <c r="G216" s="5">
        <v>5</v>
      </c>
      <c r="H216" s="7">
        <v>300</v>
      </c>
      <c r="I216" s="7">
        <f t="shared" si="9"/>
        <v>1500</v>
      </c>
      <c r="J216" s="5" t="s">
        <v>30</v>
      </c>
      <c r="K216" s="11" t="str">
        <f t="shared" si="10"/>
        <v>janvier</v>
      </c>
      <c r="L216" s="11" t="str">
        <f t="shared" si="11"/>
        <v>Non</v>
      </c>
    </row>
    <row r="217" spans="1:12" x14ac:dyDescent="0.3">
      <c r="A217" s="5" t="s">
        <v>103</v>
      </c>
      <c r="B217" s="6">
        <v>46050</v>
      </c>
      <c r="C217" s="5" t="s">
        <v>20</v>
      </c>
      <c r="D217" s="5" t="s">
        <v>21</v>
      </c>
      <c r="E217" s="5" t="s">
        <v>87</v>
      </c>
      <c r="F217" s="5" t="s">
        <v>29</v>
      </c>
      <c r="G217" s="5">
        <v>1</v>
      </c>
      <c r="H217" s="7">
        <v>1500</v>
      </c>
      <c r="I217" s="7">
        <f t="shared" si="9"/>
        <v>1500</v>
      </c>
      <c r="J217" s="5" t="s">
        <v>34</v>
      </c>
      <c r="K217" s="11" t="str">
        <f t="shared" si="10"/>
        <v>janvier</v>
      </c>
      <c r="L217" s="11" t="str">
        <f t="shared" si="11"/>
        <v>Non</v>
      </c>
    </row>
    <row r="218" spans="1:12" x14ac:dyDescent="0.3">
      <c r="A218" s="5" t="s">
        <v>116</v>
      </c>
      <c r="B218" s="6">
        <v>46055</v>
      </c>
      <c r="C218" s="5" t="s">
        <v>44</v>
      </c>
      <c r="D218" s="5" t="s">
        <v>62</v>
      </c>
      <c r="E218" s="5" t="s">
        <v>87</v>
      </c>
      <c r="F218" s="5" t="s">
        <v>29</v>
      </c>
      <c r="G218" s="5">
        <v>1</v>
      </c>
      <c r="H218" s="7">
        <v>1500</v>
      </c>
      <c r="I218" s="7">
        <f t="shared" si="9"/>
        <v>1500</v>
      </c>
      <c r="J218" s="5" t="s">
        <v>34</v>
      </c>
      <c r="K218" s="11" t="str">
        <f t="shared" si="10"/>
        <v>février</v>
      </c>
      <c r="L218" s="11" t="str">
        <f t="shared" si="11"/>
        <v>Non</v>
      </c>
    </row>
    <row r="219" spans="1:12" x14ac:dyDescent="0.3">
      <c r="A219" s="5" t="s">
        <v>132</v>
      </c>
      <c r="B219" s="6">
        <v>46061</v>
      </c>
      <c r="C219" s="5" t="s">
        <v>26</v>
      </c>
      <c r="D219" s="5" t="s">
        <v>38</v>
      </c>
      <c r="E219" s="5" t="s">
        <v>87</v>
      </c>
      <c r="F219" s="5" t="s">
        <v>29</v>
      </c>
      <c r="G219" s="5">
        <v>1</v>
      </c>
      <c r="H219" s="7">
        <v>1500</v>
      </c>
      <c r="I219" s="7">
        <f t="shared" si="9"/>
        <v>1500</v>
      </c>
      <c r="J219" s="5" t="s">
        <v>24</v>
      </c>
      <c r="K219" s="11" t="str">
        <f t="shared" si="10"/>
        <v>février</v>
      </c>
      <c r="L219" s="11" t="str">
        <f t="shared" si="11"/>
        <v>Non</v>
      </c>
    </row>
    <row r="220" spans="1:12" x14ac:dyDescent="0.3">
      <c r="A220" s="5" t="s">
        <v>135</v>
      </c>
      <c r="B220" s="6">
        <v>46062</v>
      </c>
      <c r="C220" s="5" t="s">
        <v>44</v>
      </c>
      <c r="D220" s="5" t="s">
        <v>62</v>
      </c>
      <c r="E220" s="5" t="s">
        <v>87</v>
      </c>
      <c r="F220" s="5" t="s">
        <v>29</v>
      </c>
      <c r="G220" s="5">
        <v>1</v>
      </c>
      <c r="H220" s="7">
        <v>1500</v>
      </c>
      <c r="I220" s="7">
        <f t="shared" si="9"/>
        <v>1500</v>
      </c>
      <c r="J220" s="5" t="s">
        <v>30</v>
      </c>
      <c r="K220" s="11" t="str">
        <f t="shared" si="10"/>
        <v>février</v>
      </c>
      <c r="L220" s="11" t="str">
        <f t="shared" si="11"/>
        <v>Non</v>
      </c>
    </row>
    <row r="221" spans="1:12" x14ac:dyDescent="0.3">
      <c r="A221" s="5" t="s">
        <v>151</v>
      </c>
      <c r="B221" s="6">
        <v>46069</v>
      </c>
      <c r="C221" s="5" t="s">
        <v>26</v>
      </c>
      <c r="D221" s="5" t="s">
        <v>38</v>
      </c>
      <c r="E221" s="5" t="s">
        <v>87</v>
      </c>
      <c r="F221" s="5" t="s">
        <v>29</v>
      </c>
      <c r="G221" s="5">
        <v>1</v>
      </c>
      <c r="H221" s="7">
        <v>1500</v>
      </c>
      <c r="I221" s="7">
        <f t="shared" si="9"/>
        <v>1500</v>
      </c>
      <c r="J221" s="5" t="s">
        <v>30</v>
      </c>
      <c r="K221" s="11" t="str">
        <f t="shared" si="10"/>
        <v>février</v>
      </c>
      <c r="L221" s="11" t="str">
        <f t="shared" si="11"/>
        <v>Non</v>
      </c>
    </row>
    <row r="222" spans="1:12" x14ac:dyDescent="0.3">
      <c r="A222" s="5" t="s">
        <v>192</v>
      </c>
      <c r="B222" s="6">
        <v>46093</v>
      </c>
      <c r="C222" s="5" t="s">
        <v>44</v>
      </c>
      <c r="D222" s="5" t="s">
        <v>62</v>
      </c>
      <c r="E222" s="5" t="s">
        <v>87</v>
      </c>
      <c r="F222" s="5" t="s">
        <v>29</v>
      </c>
      <c r="G222" s="5">
        <v>1</v>
      </c>
      <c r="H222" s="7">
        <v>1500</v>
      </c>
      <c r="I222" s="7">
        <f t="shared" si="9"/>
        <v>1500</v>
      </c>
      <c r="J222" s="5" t="s">
        <v>34</v>
      </c>
      <c r="K222" s="11" t="str">
        <f t="shared" si="10"/>
        <v>mars</v>
      </c>
      <c r="L222" s="11" t="str">
        <f t="shared" si="11"/>
        <v>Non</v>
      </c>
    </row>
    <row r="223" spans="1:12" x14ac:dyDescent="0.3">
      <c r="A223" s="5" t="s">
        <v>197</v>
      </c>
      <c r="B223" s="6">
        <v>46095</v>
      </c>
      <c r="C223" s="5" t="s">
        <v>44</v>
      </c>
      <c r="D223" s="5" t="s">
        <v>62</v>
      </c>
      <c r="E223" s="5" t="s">
        <v>87</v>
      </c>
      <c r="F223" s="5" t="s">
        <v>29</v>
      </c>
      <c r="G223" s="5">
        <v>1</v>
      </c>
      <c r="H223" s="7">
        <v>1500</v>
      </c>
      <c r="I223" s="7">
        <f t="shared" si="9"/>
        <v>1500</v>
      </c>
      <c r="J223" s="5" t="s">
        <v>30</v>
      </c>
      <c r="K223" s="11" t="str">
        <f t="shared" si="10"/>
        <v>mars</v>
      </c>
      <c r="L223" s="11" t="str">
        <f t="shared" si="11"/>
        <v>Non</v>
      </c>
    </row>
    <row r="224" spans="1:12" x14ac:dyDescent="0.3">
      <c r="A224" s="5" t="s">
        <v>233</v>
      </c>
      <c r="B224" s="6">
        <v>46116</v>
      </c>
      <c r="C224" s="5" t="s">
        <v>44</v>
      </c>
      <c r="D224" s="5" t="s">
        <v>45</v>
      </c>
      <c r="E224" s="5" t="s">
        <v>87</v>
      </c>
      <c r="F224" s="5" t="s">
        <v>29</v>
      </c>
      <c r="G224" s="5">
        <v>1</v>
      </c>
      <c r="H224" s="7">
        <v>1500</v>
      </c>
      <c r="I224" s="7">
        <f t="shared" si="9"/>
        <v>1500</v>
      </c>
      <c r="J224" s="5" t="s">
        <v>34</v>
      </c>
      <c r="K224" s="11" t="str">
        <f t="shared" si="10"/>
        <v>avril</v>
      </c>
      <c r="L224" s="11" t="str">
        <f t="shared" si="11"/>
        <v>Non</v>
      </c>
    </row>
    <row r="225" spans="1:12" x14ac:dyDescent="0.3">
      <c r="A225" s="5" t="s">
        <v>266</v>
      </c>
      <c r="B225" s="6">
        <v>46131</v>
      </c>
      <c r="C225" s="5" t="s">
        <v>26</v>
      </c>
      <c r="D225" s="5" t="s">
        <v>27</v>
      </c>
      <c r="E225" s="5" t="s">
        <v>87</v>
      </c>
      <c r="F225" s="5" t="s">
        <v>29</v>
      </c>
      <c r="G225" s="5">
        <v>1</v>
      </c>
      <c r="H225" s="7">
        <v>1500</v>
      </c>
      <c r="I225" s="7">
        <f t="shared" si="9"/>
        <v>1500</v>
      </c>
      <c r="J225" s="5" t="s">
        <v>34</v>
      </c>
      <c r="K225" s="11" t="str">
        <f t="shared" si="10"/>
        <v>avril</v>
      </c>
      <c r="L225" s="11" t="str">
        <f t="shared" si="11"/>
        <v>Non</v>
      </c>
    </row>
    <row r="226" spans="1:12" x14ac:dyDescent="0.3">
      <c r="A226" s="5" t="s">
        <v>269</v>
      </c>
      <c r="B226" s="6">
        <v>46132</v>
      </c>
      <c r="C226" s="5" t="s">
        <v>44</v>
      </c>
      <c r="D226" s="5" t="s">
        <v>45</v>
      </c>
      <c r="E226" s="5" t="s">
        <v>87</v>
      </c>
      <c r="F226" s="5" t="s">
        <v>29</v>
      </c>
      <c r="G226" s="5">
        <v>1</v>
      </c>
      <c r="H226" s="7">
        <v>1500</v>
      </c>
      <c r="I226" s="7">
        <f t="shared" si="9"/>
        <v>1500</v>
      </c>
      <c r="J226" s="5" t="s">
        <v>24</v>
      </c>
      <c r="K226" s="11" t="str">
        <f t="shared" si="10"/>
        <v>avril</v>
      </c>
      <c r="L226" s="11" t="str">
        <f t="shared" si="11"/>
        <v>Non</v>
      </c>
    </row>
    <row r="227" spans="1:12" x14ac:dyDescent="0.3">
      <c r="A227" s="5" t="s">
        <v>275</v>
      </c>
      <c r="B227" s="6">
        <v>46135</v>
      </c>
      <c r="C227" s="5" t="s">
        <v>44</v>
      </c>
      <c r="D227" s="5" t="s">
        <v>62</v>
      </c>
      <c r="E227" s="5" t="s">
        <v>87</v>
      </c>
      <c r="F227" s="5" t="s">
        <v>29</v>
      </c>
      <c r="G227" s="5">
        <v>1</v>
      </c>
      <c r="H227" s="7">
        <v>1500</v>
      </c>
      <c r="I227" s="7">
        <f t="shared" si="9"/>
        <v>1500</v>
      </c>
      <c r="J227" s="5" t="s">
        <v>24</v>
      </c>
      <c r="K227" s="11" t="str">
        <f t="shared" si="10"/>
        <v>avril</v>
      </c>
      <c r="L227" s="11" t="str">
        <f t="shared" si="11"/>
        <v>Non</v>
      </c>
    </row>
    <row r="228" spans="1:12" x14ac:dyDescent="0.3">
      <c r="A228" s="5" t="s">
        <v>338</v>
      </c>
      <c r="B228" s="6">
        <v>46163</v>
      </c>
      <c r="C228" s="5" t="s">
        <v>26</v>
      </c>
      <c r="D228" s="5" t="s">
        <v>38</v>
      </c>
      <c r="E228" s="5" t="s">
        <v>87</v>
      </c>
      <c r="F228" s="5" t="s">
        <v>29</v>
      </c>
      <c r="G228" s="5">
        <v>1</v>
      </c>
      <c r="H228" s="7">
        <v>1500</v>
      </c>
      <c r="I228" s="7">
        <f t="shared" si="9"/>
        <v>1500</v>
      </c>
      <c r="J228" s="5" t="s">
        <v>34</v>
      </c>
      <c r="K228" s="11" t="str">
        <f t="shared" si="10"/>
        <v>mai</v>
      </c>
      <c r="L228" s="11" t="str">
        <f t="shared" si="11"/>
        <v>Non</v>
      </c>
    </row>
    <row r="229" spans="1:12" x14ac:dyDescent="0.3">
      <c r="A229" s="5" t="s">
        <v>339</v>
      </c>
      <c r="B229" s="6">
        <v>46163</v>
      </c>
      <c r="C229" s="5" t="s">
        <v>44</v>
      </c>
      <c r="D229" s="5" t="s">
        <v>62</v>
      </c>
      <c r="E229" s="5" t="s">
        <v>87</v>
      </c>
      <c r="F229" s="5" t="s">
        <v>29</v>
      </c>
      <c r="G229" s="5">
        <v>1</v>
      </c>
      <c r="H229" s="7">
        <v>1500</v>
      </c>
      <c r="I229" s="7">
        <f t="shared" si="9"/>
        <v>1500</v>
      </c>
      <c r="J229" s="5" t="s">
        <v>34</v>
      </c>
      <c r="K229" s="11" t="str">
        <f t="shared" si="10"/>
        <v>mai</v>
      </c>
      <c r="L229" s="11" t="str">
        <f t="shared" si="11"/>
        <v>Non</v>
      </c>
    </row>
    <row r="230" spans="1:12" x14ac:dyDescent="0.3">
      <c r="A230" s="5" t="s">
        <v>376</v>
      </c>
      <c r="B230" s="6">
        <v>46177</v>
      </c>
      <c r="C230" s="5" t="s">
        <v>20</v>
      </c>
      <c r="D230" s="5" t="s">
        <v>32</v>
      </c>
      <c r="E230" s="5" t="s">
        <v>87</v>
      </c>
      <c r="F230" s="5" t="s">
        <v>29</v>
      </c>
      <c r="G230" s="5">
        <v>1</v>
      </c>
      <c r="H230" s="7">
        <v>1500</v>
      </c>
      <c r="I230" s="7">
        <f t="shared" si="9"/>
        <v>1500</v>
      </c>
      <c r="J230" s="5" t="s">
        <v>24</v>
      </c>
      <c r="K230" s="11" t="str">
        <f t="shared" si="10"/>
        <v>juin</v>
      </c>
      <c r="L230" s="11" t="str">
        <f t="shared" si="11"/>
        <v>Non</v>
      </c>
    </row>
    <row r="231" spans="1:12" x14ac:dyDescent="0.3">
      <c r="A231" s="5" t="s">
        <v>377</v>
      </c>
      <c r="B231" s="6">
        <v>46178</v>
      </c>
      <c r="C231" s="5" t="s">
        <v>44</v>
      </c>
      <c r="D231" s="5" t="s">
        <v>45</v>
      </c>
      <c r="E231" s="5" t="s">
        <v>22</v>
      </c>
      <c r="F231" s="5" t="s">
        <v>23</v>
      </c>
      <c r="G231" s="5">
        <v>6</v>
      </c>
      <c r="H231" s="7">
        <v>250</v>
      </c>
      <c r="I231" s="7">
        <f t="shared" si="9"/>
        <v>1500</v>
      </c>
      <c r="J231" s="5" t="s">
        <v>34</v>
      </c>
      <c r="K231" s="11" t="str">
        <f t="shared" si="10"/>
        <v>juin</v>
      </c>
      <c r="L231" s="11" t="str">
        <f t="shared" si="11"/>
        <v>Non</v>
      </c>
    </row>
    <row r="232" spans="1:12" x14ac:dyDescent="0.3">
      <c r="A232" s="5" t="s">
        <v>394</v>
      </c>
      <c r="B232" s="6">
        <v>46184</v>
      </c>
      <c r="C232" s="5" t="s">
        <v>26</v>
      </c>
      <c r="D232" s="5" t="s">
        <v>27</v>
      </c>
      <c r="E232" s="5" t="s">
        <v>87</v>
      </c>
      <c r="F232" s="5" t="s">
        <v>29</v>
      </c>
      <c r="G232" s="5">
        <v>1</v>
      </c>
      <c r="H232" s="7">
        <v>1500</v>
      </c>
      <c r="I232" s="7">
        <f t="shared" si="9"/>
        <v>1500</v>
      </c>
      <c r="J232" s="5" t="s">
        <v>24</v>
      </c>
      <c r="K232" s="11" t="str">
        <f t="shared" si="10"/>
        <v>juin</v>
      </c>
      <c r="L232" s="11" t="str">
        <f t="shared" si="11"/>
        <v>Non</v>
      </c>
    </row>
    <row r="233" spans="1:12" x14ac:dyDescent="0.3">
      <c r="A233" s="5" t="s">
        <v>395</v>
      </c>
      <c r="B233" s="6">
        <v>46184</v>
      </c>
      <c r="C233" s="5" t="s">
        <v>44</v>
      </c>
      <c r="D233" s="5" t="s">
        <v>62</v>
      </c>
      <c r="E233" s="5" t="s">
        <v>87</v>
      </c>
      <c r="F233" s="5" t="s">
        <v>29</v>
      </c>
      <c r="G233" s="5">
        <v>1</v>
      </c>
      <c r="H233" s="7">
        <v>1500</v>
      </c>
      <c r="I233" s="7">
        <f t="shared" si="9"/>
        <v>1500</v>
      </c>
      <c r="J233" s="5" t="s">
        <v>34</v>
      </c>
      <c r="K233" s="11" t="str">
        <f t="shared" si="10"/>
        <v>juin</v>
      </c>
      <c r="L233" s="11" t="str">
        <f t="shared" si="11"/>
        <v>Non</v>
      </c>
    </row>
    <row r="234" spans="1:12" x14ac:dyDescent="0.3">
      <c r="A234" s="5" t="s">
        <v>406</v>
      </c>
      <c r="B234" s="6">
        <v>46188</v>
      </c>
      <c r="C234" s="5" t="s">
        <v>26</v>
      </c>
      <c r="D234" s="5" t="s">
        <v>27</v>
      </c>
      <c r="E234" s="5" t="s">
        <v>87</v>
      </c>
      <c r="F234" s="5" t="s">
        <v>29</v>
      </c>
      <c r="G234" s="5">
        <v>1</v>
      </c>
      <c r="H234" s="7">
        <v>1500</v>
      </c>
      <c r="I234" s="7">
        <f t="shared" si="9"/>
        <v>1500</v>
      </c>
      <c r="J234" s="5" t="s">
        <v>34</v>
      </c>
      <c r="K234" s="11" t="str">
        <f t="shared" si="10"/>
        <v>juin</v>
      </c>
      <c r="L234" s="11" t="str">
        <f t="shared" si="11"/>
        <v>Non</v>
      </c>
    </row>
    <row r="235" spans="1:12" x14ac:dyDescent="0.3">
      <c r="A235" s="5" t="s">
        <v>410</v>
      </c>
      <c r="B235" s="6">
        <v>46189</v>
      </c>
      <c r="C235" s="5" t="s">
        <v>20</v>
      </c>
      <c r="D235" s="5" t="s">
        <v>32</v>
      </c>
      <c r="E235" s="5" t="s">
        <v>87</v>
      </c>
      <c r="F235" s="5" t="s">
        <v>29</v>
      </c>
      <c r="G235" s="5">
        <v>1</v>
      </c>
      <c r="H235" s="7">
        <v>1500</v>
      </c>
      <c r="I235" s="7">
        <f t="shared" si="9"/>
        <v>1500</v>
      </c>
      <c r="J235" s="5" t="s">
        <v>30</v>
      </c>
      <c r="K235" s="11" t="str">
        <f t="shared" si="10"/>
        <v>juin</v>
      </c>
      <c r="L235" s="11" t="str">
        <f t="shared" si="11"/>
        <v>Non</v>
      </c>
    </row>
    <row r="236" spans="1:12" x14ac:dyDescent="0.3">
      <c r="A236" s="5" t="s">
        <v>432</v>
      </c>
      <c r="B236" s="6">
        <v>46197</v>
      </c>
      <c r="C236" s="5" t="s">
        <v>44</v>
      </c>
      <c r="D236" s="5" t="s">
        <v>62</v>
      </c>
      <c r="E236" s="5" t="s">
        <v>46</v>
      </c>
      <c r="F236" s="5" t="s">
        <v>47</v>
      </c>
      <c r="G236" s="5">
        <v>5</v>
      </c>
      <c r="H236" s="7">
        <v>300</v>
      </c>
      <c r="I236" s="7">
        <f t="shared" si="9"/>
        <v>1500</v>
      </c>
      <c r="J236" s="5" t="s">
        <v>34</v>
      </c>
      <c r="K236" s="11" t="str">
        <f t="shared" si="10"/>
        <v>juin</v>
      </c>
      <c r="L236" s="11" t="str">
        <f t="shared" si="11"/>
        <v>Non</v>
      </c>
    </row>
    <row r="237" spans="1:12" x14ac:dyDescent="0.3">
      <c r="A237" s="5" t="s">
        <v>436</v>
      </c>
      <c r="B237" s="6">
        <v>46199</v>
      </c>
      <c r="C237" s="5" t="s">
        <v>26</v>
      </c>
      <c r="D237" s="5" t="s">
        <v>38</v>
      </c>
      <c r="E237" s="5" t="s">
        <v>51</v>
      </c>
      <c r="F237" s="5" t="s">
        <v>52</v>
      </c>
      <c r="G237" s="5">
        <v>3</v>
      </c>
      <c r="H237" s="7">
        <v>500</v>
      </c>
      <c r="I237" s="7">
        <f t="shared" si="9"/>
        <v>1500</v>
      </c>
      <c r="J237" s="5" t="s">
        <v>34</v>
      </c>
      <c r="K237" s="11" t="str">
        <f t="shared" si="10"/>
        <v>juin</v>
      </c>
      <c r="L237" s="11" t="str">
        <f t="shared" si="11"/>
        <v>Non</v>
      </c>
    </row>
    <row r="238" spans="1:12" x14ac:dyDescent="0.3">
      <c r="A238" s="5" t="s">
        <v>439</v>
      </c>
      <c r="B238" s="6">
        <v>46199</v>
      </c>
      <c r="C238" s="5" t="s">
        <v>44</v>
      </c>
      <c r="D238" s="5" t="s">
        <v>45</v>
      </c>
      <c r="E238" s="5" t="s">
        <v>46</v>
      </c>
      <c r="F238" s="5" t="s">
        <v>47</v>
      </c>
      <c r="G238" s="5">
        <v>5</v>
      </c>
      <c r="H238" s="7">
        <v>300</v>
      </c>
      <c r="I238" s="7">
        <f t="shared" si="9"/>
        <v>1500</v>
      </c>
      <c r="J238" s="5" t="s">
        <v>34</v>
      </c>
      <c r="K238" s="11" t="str">
        <f t="shared" si="10"/>
        <v>juin</v>
      </c>
      <c r="L238" s="11" t="str">
        <f t="shared" si="11"/>
        <v>Non</v>
      </c>
    </row>
    <row r="239" spans="1:12" x14ac:dyDescent="0.3">
      <c r="A239" s="5" t="s">
        <v>55</v>
      </c>
      <c r="B239" s="6">
        <v>46033</v>
      </c>
      <c r="C239" s="5" t="s">
        <v>20</v>
      </c>
      <c r="D239" s="5" t="s">
        <v>32</v>
      </c>
      <c r="E239" s="5" t="s">
        <v>54</v>
      </c>
      <c r="F239" s="5" t="s">
        <v>47</v>
      </c>
      <c r="G239" s="5">
        <v>2</v>
      </c>
      <c r="H239" s="7">
        <v>700</v>
      </c>
      <c r="I239" s="7">
        <f t="shared" si="9"/>
        <v>1400</v>
      </c>
      <c r="J239" s="5" t="s">
        <v>30</v>
      </c>
      <c r="K239" s="11" t="str">
        <f t="shared" si="10"/>
        <v>janvier</v>
      </c>
      <c r="L239" s="11" t="str">
        <f t="shared" si="11"/>
        <v>Non</v>
      </c>
    </row>
    <row r="240" spans="1:12" x14ac:dyDescent="0.3">
      <c r="A240" s="5" t="s">
        <v>83</v>
      </c>
      <c r="B240" s="6">
        <v>46043</v>
      </c>
      <c r="C240" s="5" t="s">
        <v>20</v>
      </c>
      <c r="D240" s="5" t="s">
        <v>21</v>
      </c>
      <c r="E240" s="5" t="s">
        <v>54</v>
      </c>
      <c r="F240" s="5" t="s">
        <v>47</v>
      </c>
      <c r="G240" s="5">
        <v>2</v>
      </c>
      <c r="H240" s="7">
        <v>700</v>
      </c>
      <c r="I240" s="7">
        <f t="shared" si="9"/>
        <v>1400</v>
      </c>
      <c r="J240" s="5" t="s">
        <v>30</v>
      </c>
      <c r="K240" s="11" t="str">
        <f t="shared" si="10"/>
        <v>janvier</v>
      </c>
      <c r="L240" s="11" t="str">
        <f t="shared" si="11"/>
        <v>Non</v>
      </c>
    </row>
    <row r="241" spans="1:12" x14ac:dyDescent="0.3">
      <c r="A241" s="5" t="s">
        <v>113</v>
      </c>
      <c r="B241" s="6">
        <v>46054</v>
      </c>
      <c r="C241" s="5" t="s">
        <v>20</v>
      </c>
      <c r="D241" s="5" t="s">
        <v>32</v>
      </c>
      <c r="E241" s="5" t="s">
        <v>54</v>
      </c>
      <c r="F241" s="5" t="s">
        <v>47</v>
      </c>
      <c r="G241" s="5">
        <v>2</v>
      </c>
      <c r="H241" s="7">
        <v>700</v>
      </c>
      <c r="I241" s="7">
        <f t="shared" si="9"/>
        <v>1400</v>
      </c>
      <c r="J241" s="5" t="s">
        <v>30</v>
      </c>
      <c r="K241" s="11" t="str">
        <f t="shared" si="10"/>
        <v>février</v>
      </c>
      <c r="L241" s="11" t="str">
        <f t="shared" si="11"/>
        <v>Non</v>
      </c>
    </row>
    <row r="242" spans="1:12" x14ac:dyDescent="0.3">
      <c r="A242" s="5" t="s">
        <v>154</v>
      </c>
      <c r="B242" s="6">
        <v>46070</v>
      </c>
      <c r="C242" s="5" t="s">
        <v>26</v>
      </c>
      <c r="D242" s="5" t="s">
        <v>27</v>
      </c>
      <c r="E242" s="5" t="s">
        <v>54</v>
      </c>
      <c r="F242" s="5" t="s">
        <v>47</v>
      </c>
      <c r="G242" s="5">
        <v>2</v>
      </c>
      <c r="H242" s="7">
        <v>700</v>
      </c>
      <c r="I242" s="7">
        <f t="shared" si="9"/>
        <v>1400</v>
      </c>
      <c r="J242" s="5" t="s">
        <v>34</v>
      </c>
      <c r="K242" s="11" t="str">
        <f t="shared" si="10"/>
        <v>février</v>
      </c>
      <c r="L242" s="11" t="str">
        <f t="shared" si="11"/>
        <v>Non</v>
      </c>
    </row>
    <row r="243" spans="1:12" x14ac:dyDescent="0.3">
      <c r="A243" s="5" t="s">
        <v>191</v>
      </c>
      <c r="B243" s="6">
        <v>46093</v>
      </c>
      <c r="C243" s="5" t="s">
        <v>44</v>
      </c>
      <c r="D243" s="5" t="s">
        <v>62</v>
      </c>
      <c r="E243" s="5" t="s">
        <v>54</v>
      </c>
      <c r="F243" s="5" t="s">
        <v>47</v>
      </c>
      <c r="G243" s="5">
        <v>2</v>
      </c>
      <c r="H243" s="7">
        <v>700</v>
      </c>
      <c r="I243" s="7">
        <f t="shared" si="9"/>
        <v>1400</v>
      </c>
      <c r="J243" s="5" t="s">
        <v>34</v>
      </c>
      <c r="K243" s="11" t="str">
        <f t="shared" si="10"/>
        <v>mars</v>
      </c>
      <c r="L243" s="11" t="str">
        <f t="shared" si="11"/>
        <v>Non</v>
      </c>
    </row>
    <row r="244" spans="1:12" x14ac:dyDescent="0.3">
      <c r="A244" s="5" t="s">
        <v>212</v>
      </c>
      <c r="B244" s="6">
        <v>46103</v>
      </c>
      <c r="C244" s="5" t="s">
        <v>20</v>
      </c>
      <c r="D244" s="5" t="s">
        <v>21</v>
      </c>
      <c r="E244" s="5" t="s">
        <v>54</v>
      </c>
      <c r="F244" s="5" t="s">
        <v>47</v>
      </c>
      <c r="G244" s="5">
        <v>2</v>
      </c>
      <c r="H244" s="7">
        <v>700</v>
      </c>
      <c r="I244" s="7">
        <f t="shared" si="9"/>
        <v>1400</v>
      </c>
      <c r="J244" s="5" t="s">
        <v>34</v>
      </c>
      <c r="K244" s="11" t="str">
        <f t="shared" si="10"/>
        <v>mars</v>
      </c>
      <c r="L244" s="11" t="str">
        <f t="shared" si="11"/>
        <v>Non</v>
      </c>
    </row>
    <row r="245" spans="1:12" x14ac:dyDescent="0.3">
      <c r="A245" s="5" t="s">
        <v>393</v>
      </c>
      <c r="B245" s="6">
        <v>46183</v>
      </c>
      <c r="C245" s="5" t="s">
        <v>44</v>
      </c>
      <c r="D245" s="5" t="s">
        <v>62</v>
      </c>
      <c r="E245" s="5" t="s">
        <v>54</v>
      </c>
      <c r="F245" s="5" t="s">
        <v>47</v>
      </c>
      <c r="G245" s="5">
        <v>2</v>
      </c>
      <c r="H245" s="7">
        <v>700</v>
      </c>
      <c r="I245" s="7">
        <f t="shared" si="9"/>
        <v>1400</v>
      </c>
      <c r="J245" s="5" t="s">
        <v>34</v>
      </c>
      <c r="K245" s="11" t="str">
        <f t="shared" si="10"/>
        <v>juin</v>
      </c>
      <c r="L245" s="11" t="str">
        <f t="shared" si="11"/>
        <v>Non</v>
      </c>
    </row>
    <row r="246" spans="1:12" x14ac:dyDescent="0.3">
      <c r="A246" s="5" t="s">
        <v>445</v>
      </c>
      <c r="B246" s="6">
        <v>46202</v>
      </c>
      <c r="C246" s="5" t="s">
        <v>20</v>
      </c>
      <c r="D246" s="5" t="s">
        <v>32</v>
      </c>
      <c r="E246" s="5" t="s">
        <v>54</v>
      </c>
      <c r="F246" s="5" t="s">
        <v>47</v>
      </c>
      <c r="G246" s="5">
        <v>2</v>
      </c>
      <c r="H246" s="7">
        <v>700</v>
      </c>
      <c r="I246" s="7">
        <f t="shared" si="9"/>
        <v>1400</v>
      </c>
      <c r="J246" s="5" t="s">
        <v>24</v>
      </c>
      <c r="K246" s="11" t="str">
        <f t="shared" si="10"/>
        <v>juin</v>
      </c>
      <c r="L246" s="11" t="str">
        <f t="shared" si="11"/>
        <v>Non</v>
      </c>
    </row>
    <row r="247" spans="1:12" x14ac:dyDescent="0.3">
      <c r="A247" s="5" t="s">
        <v>112</v>
      </c>
      <c r="B247" s="6">
        <v>46054</v>
      </c>
      <c r="C247" s="5" t="s">
        <v>20</v>
      </c>
      <c r="D247" s="5" t="s">
        <v>32</v>
      </c>
      <c r="E247" s="5" t="s">
        <v>22</v>
      </c>
      <c r="F247" s="5" t="s">
        <v>23</v>
      </c>
      <c r="G247" s="5">
        <v>5</v>
      </c>
      <c r="H247" s="7">
        <v>250</v>
      </c>
      <c r="I247" s="7">
        <f t="shared" si="9"/>
        <v>1250</v>
      </c>
      <c r="J247" s="5" t="s">
        <v>30</v>
      </c>
      <c r="K247" s="11" t="str">
        <f t="shared" si="10"/>
        <v>février</v>
      </c>
      <c r="L247" s="11" t="str">
        <f t="shared" si="11"/>
        <v>Non</v>
      </c>
    </row>
    <row r="248" spans="1:12" x14ac:dyDescent="0.3">
      <c r="A248" s="5" t="s">
        <v>300</v>
      </c>
      <c r="B248" s="6">
        <v>46143</v>
      </c>
      <c r="C248" s="5" t="s">
        <v>44</v>
      </c>
      <c r="D248" s="5" t="s">
        <v>45</v>
      </c>
      <c r="E248" s="5" t="s">
        <v>22</v>
      </c>
      <c r="F248" s="5" t="s">
        <v>23</v>
      </c>
      <c r="G248" s="5">
        <v>5</v>
      </c>
      <c r="H248" s="7">
        <v>250</v>
      </c>
      <c r="I248" s="7">
        <f t="shared" si="9"/>
        <v>1250</v>
      </c>
      <c r="J248" s="5" t="s">
        <v>34</v>
      </c>
      <c r="K248" s="11" t="str">
        <f t="shared" si="10"/>
        <v>mai</v>
      </c>
      <c r="L248" s="11" t="str">
        <f t="shared" si="11"/>
        <v>Non</v>
      </c>
    </row>
    <row r="249" spans="1:12" x14ac:dyDescent="0.3">
      <c r="A249" s="5" t="s">
        <v>348</v>
      </c>
      <c r="B249" s="6">
        <v>46166</v>
      </c>
      <c r="C249" s="5" t="s">
        <v>44</v>
      </c>
      <c r="D249" s="5" t="s">
        <v>62</v>
      </c>
      <c r="E249" s="5" t="s">
        <v>22</v>
      </c>
      <c r="F249" s="5" t="s">
        <v>23</v>
      </c>
      <c r="G249" s="5">
        <v>5</v>
      </c>
      <c r="H249" s="7">
        <v>250</v>
      </c>
      <c r="I249" s="7">
        <f t="shared" si="9"/>
        <v>1250</v>
      </c>
      <c r="J249" s="5" t="s">
        <v>30</v>
      </c>
      <c r="K249" s="11" t="str">
        <f t="shared" si="10"/>
        <v>mai</v>
      </c>
      <c r="L249" s="11" t="str">
        <f t="shared" si="11"/>
        <v>Non</v>
      </c>
    </row>
    <row r="250" spans="1:12" x14ac:dyDescent="0.3">
      <c r="A250" s="5" t="s">
        <v>404</v>
      </c>
      <c r="B250" s="6">
        <v>46188</v>
      </c>
      <c r="C250" s="5" t="s">
        <v>26</v>
      </c>
      <c r="D250" s="5" t="s">
        <v>38</v>
      </c>
      <c r="E250" s="5" t="s">
        <v>22</v>
      </c>
      <c r="F250" s="5" t="s">
        <v>23</v>
      </c>
      <c r="G250" s="5">
        <v>5</v>
      </c>
      <c r="H250" s="7">
        <v>250</v>
      </c>
      <c r="I250" s="7">
        <f t="shared" si="9"/>
        <v>1250</v>
      </c>
      <c r="J250" s="5" t="s">
        <v>34</v>
      </c>
      <c r="K250" s="11" t="str">
        <f t="shared" si="10"/>
        <v>juin</v>
      </c>
      <c r="L250" s="11" t="str">
        <f t="shared" si="11"/>
        <v>Non</v>
      </c>
    </row>
    <row r="251" spans="1:12" x14ac:dyDescent="0.3">
      <c r="A251" s="5" t="s">
        <v>65</v>
      </c>
      <c r="B251" s="6">
        <v>46036</v>
      </c>
      <c r="C251" s="5" t="s">
        <v>26</v>
      </c>
      <c r="D251" s="5" t="s">
        <v>38</v>
      </c>
      <c r="E251" s="5" t="s">
        <v>66</v>
      </c>
      <c r="F251" s="5" t="s">
        <v>23</v>
      </c>
      <c r="G251" s="5">
        <v>1</v>
      </c>
      <c r="H251" s="7">
        <v>1200</v>
      </c>
      <c r="I251" s="7">
        <f t="shared" si="9"/>
        <v>1200</v>
      </c>
      <c r="J251" s="5" t="s">
        <v>34</v>
      </c>
      <c r="K251" s="11" t="str">
        <f t="shared" si="10"/>
        <v>janvier</v>
      </c>
      <c r="L251" s="11" t="str">
        <f t="shared" si="11"/>
        <v>Non</v>
      </c>
    </row>
    <row r="252" spans="1:12" x14ac:dyDescent="0.3">
      <c r="A252" s="5" t="s">
        <v>82</v>
      </c>
      <c r="B252" s="6">
        <v>46042</v>
      </c>
      <c r="C252" s="5" t="s">
        <v>44</v>
      </c>
      <c r="D252" s="5" t="s">
        <v>45</v>
      </c>
      <c r="E252" s="5" t="s">
        <v>70</v>
      </c>
      <c r="F252" s="5" t="s">
        <v>52</v>
      </c>
      <c r="G252" s="5">
        <v>3</v>
      </c>
      <c r="H252" s="7">
        <v>400</v>
      </c>
      <c r="I252" s="7">
        <f t="shared" si="9"/>
        <v>1200</v>
      </c>
      <c r="J252" s="5" t="s">
        <v>34</v>
      </c>
      <c r="K252" s="11" t="str">
        <f t="shared" si="10"/>
        <v>janvier</v>
      </c>
      <c r="L252" s="11" t="str">
        <f t="shared" si="11"/>
        <v>Non</v>
      </c>
    </row>
    <row r="253" spans="1:12" x14ac:dyDescent="0.3">
      <c r="A253" s="5" t="s">
        <v>100</v>
      </c>
      <c r="B253" s="6">
        <v>46050</v>
      </c>
      <c r="C253" s="5" t="s">
        <v>44</v>
      </c>
      <c r="D253" s="5" t="s">
        <v>45</v>
      </c>
      <c r="E253" s="5" t="s">
        <v>33</v>
      </c>
      <c r="F253" s="5" t="s">
        <v>23</v>
      </c>
      <c r="G253" s="5">
        <v>2</v>
      </c>
      <c r="H253" s="7">
        <v>600</v>
      </c>
      <c r="I253" s="7">
        <f t="shared" si="9"/>
        <v>1200</v>
      </c>
      <c r="J253" s="5" t="s">
        <v>34</v>
      </c>
      <c r="K253" s="11" t="str">
        <f t="shared" si="10"/>
        <v>janvier</v>
      </c>
      <c r="L253" s="11" t="str">
        <f t="shared" si="11"/>
        <v>Non</v>
      </c>
    </row>
    <row r="254" spans="1:12" x14ac:dyDescent="0.3">
      <c r="A254" s="5" t="s">
        <v>105</v>
      </c>
      <c r="B254" s="6">
        <v>46050</v>
      </c>
      <c r="C254" s="5" t="s">
        <v>20</v>
      </c>
      <c r="D254" s="5" t="s">
        <v>32</v>
      </c>
      <c r="E254" s="5" t="s">
        <v>33</v>
      </c>
      <c r="F254" s="5" t="s">
        <v>23</v>
      </c>
      <c r="G254" s="5">
        <v>2</v>
      </c>
      <c r="H254" s="7">
        <v>600</v>
      </c>
      <c r="I254" s="7">
        <f t="shared" si="9"/>
        <v>1200</v>
      </c>
      <c r="J254" s="5" t="s">
        <v>30</v>
      </c>
      <c r="K254" s="11" t="str">
        <f t="shared" si="10"/>
        <v>janvier</v>
      </c>
      <c r="L254" s="11" t="str">
        <f t="shared" si="11"/>
        <v>Non</v>
      </c>
    </row>
    <row r="255" spans="1:12" x14ac:dyDescent="0.3">
      <c r="A255" s="5" t="s">
        <v>146</v>
      </c>
      <c r="B255" s="6">
        <v>46067</v>
      </c>
      <c r="C255" s="5" t="s">
        <v>20</v>
      </c>
      <c r="D255" s="5" t="s">
        <v>21</v>
      </c>
      <c r="E255" s="5" t="s">
        <v>33</v>
      </c>
      <c r="F255" s="5" t="s">
        <v>23</v>
      </c>
      <c r="G255" s="5">
        <v>2</v>
      </c>
      <c r="H255" s="7">
        <v>600</v>
      </c>
      <c r="I255" s="7">
        <f t="shared" si="9"/>
        <v>1200</v>
      </c>
      <c r="J255" s="5" t="s">
        <v>34</v>
      </c>
      <c r="K255" s="11" t="str">
        <f t="shared" si="10"/>
        <v>février</v>
      </c>
      <c r="L255" s="11" t="str">
        <f t="shared" si="11"/>
        <v>Non</v>
      </c>
    </row>
    <row r="256" spans="1:12" x14ac:dyDescent="0.3">
      <c r="A256" s="5" t="s">
        <v>148</v>
      </c>
      <c r="B256" s="6">
        <v>46067</v>
      </c>
      <c r="C256" s="5" t="s">
        <v>20</v>
      </c>
      <c r="D256" s="5" t="s">
        <v>21</v>
      </c>
      <c r="E256" s="5" t="s">
        <v>70</v>
      </c>
      <c r="F256" s="5" t="s">
        <v>52</v>
      </c>
      <c r="G256" s="5">
        <v>3</v>
      </c>
      <c r="H256" s="7">
        <v>400</v>
      </c>
      <c r="I256" s="7">
        <f t="shared" si="9"/>
        <v>1200</v>
      </c>
      <c r="J256" s="5" t="s">
        <v>30</v>
      </c>
      <c r="K256" s="11" t="str">
        <f t="shared" si="10"/>
        <v>février</v>
      </c>
      <c r="L256" s="11" t="str">
        <f t="shared" si="11"/>
        <v>Non</v>
      </c>
    </row>
    <row r="257" spans="1:12" x14ac:dyDescent="0.3">
      <c r="A257" s="5" t="s">
        <v>161</v>
      </c>
      <c r="B257" s="6">
        <v>46074</v>
      </c>
      <c r="C257" s="5" t="s">
        <v>26</v>
      </c>
      <c r="D257" s="5" t="s">
        <v>38</v>
      </c>
      <c r="E257" s="5" t="s">
        <v>33</v>
      </c>
      <c r="F257" s="5" t="s">
        <v>23</v>
      </c>
      <c r="G257" s="5">
        <v>2</v>
      </c>
      <c r="H257" s="7">
        <v>600</v>
      </c>
      <c r="I257" s="7">
        <f t="shared" si="9"/>
        <v>1200</v>
      </c>
      <c r="J257" s="5" t="s">
        <v>34</v>
      </c>
      <c r="K257" s="11" t="str">
        <f t="shared" si="10"/>
        <v>février</v>
      </c>
      <c r="L257" s="11" t="str">
        <f t="shared" si="11"/>
        <v>Non</v>
      </c>
    </row>
    <row r="258" spans="1:12" x14ac:dyDescent="0.3">
      <c r="A258" s="5" t="s">
        <v>165</v>
      </c>
      <c r="B258" s="6">
        <v>46077</v>
      </c>
      <c r="C258" s="5" t="s">
        <v>26</v>
      </c>
      <c r="D258" s="5" t="s">
        <v>38</v>
      </c>
      <c r="E258" s="5" t="s">
        <v>28</v>
      </c>
      <c r="F258" s="5" t="s">
        <v>29</v>
      </c>
      <c r="G258" s="5">
        <v>3</v>
      </c>
      <c r="H258" s="7">
        <v>400</v>
      </c>
      <c r="I258" s="7">
        <f t="shared" ref="I258:I321" si="12">G258*H258</f>
        <v>1200</v>
      </c>
      <c r="J258" s="5" t="s">
        <v>34</v>
      </c>
      <c r="K258" s="11" t="str">
        <f t="shared" si="10"/>
        <v>février</v>
      </c>
      <c r="L258" s="11" t="str">
        <f t="shared" si="11"/>
        <v>Non</v>
      </c>
    </row>
    <row r="259" spans="1:12" x14ac:dyDescent="0.3">
      <c r="A259" s="5" t="s">
        <v>172</v>
      </c>
      <c r="B259" s="6">
        <v>46080</v>
      </c>
      <c r="C259" s="5" t="s">
        <v>20</v>
      </c>
      <c r="D259" s="5" t="s">
        <v>21</v>
      </c>
      <c r="E259" s="5" t="s">
        <v>66</v>
      </c>
      <c r="F259" s="5" t="s">
        <v>23</v>
      </c>
      <c r="G259" s="5">
        <v>1</v>
      </c>
      <c r="H259" s="7">
        <v>1200</v>
      </c>
      <c r="I259" s="7">
        <f t="shared" si="12"/>
        <v>1200</v>
      </c>
      <c r="J259" s="5" t="s">
        <v>34</v>
      </c>
      <c r="K259" s="11" t="str">
        <f t="shared" ref="K259:K322" si="13">TEXT(B259,"mmmm")</f>
        <v>février</v>
      </c>
      <c r="L259" s="11" t="str">
        <f t="shared" ref="L259:L322" si="14">IF(I259&gt;5000,"Oui","Non")</f>
        <v>Non</v>
      </c>
    </row>
    <row r="260" spans="1:12" x14ac:dyDescent="0.3">
      <c r="A260" s="5" t="s">
        <v>180</v>
      </c>
      <c r="B260" s="6">
        <v>46087</v>
      </c>
      <c r="C260" s="5" t="s">
        <v>20</v>
      </c>
      <c r="D260" s="5" t="s">
        <v>32</v>
      </c>
      <c r="E260" s="5" t="s">
        <v>66</v>
      </c>
      <c r="F260" s="5" t="s">
        <v>23</v>
      </c>
      <c r="G260" s="5">
        <v>1</v>
      </c>
      <c r="H260" s="7">
        <v>1200</v>
      </c>
      <c r="I260" s="7">
        <f t="shared" si="12"/>
        <v>1200</v>
      </c>
      <c r="J260" s="5" t="s">
        <v>34</v>
      </c>
      <c r="K260" s="11" t="str">
        <f t="shared" si="13"/>
        <v>mars</v>
      </c>
      <c r="L260" s="11" t="str">
        <f t="shared" si="14"/>
        <v>Non</v>
      </c>
    </row>
    <row r="261" spans="1:12" x14ac:dyDescent="0.3">
      <c r="A261" s="5" t="s">
        <v>184</v>
      </c>
      <c r="B261" s="6">
        <v>46090</v>
      </c>
      <c r="C261" s="5" t="s">
        <v>26</v>
      </c>
      <c r="D261" s="5" t="s">
        <v>27</v>
      </c>
      <c r="E261" s="5" t="s">
        <v>46</v>
      </c>
      <c r="F261" s="5" t="s">
        <v>47</v>
      </c>
      <c r="G261" s="5">
        <v>4</v>
      </c>
      <c r="H261" s="7">
        <v>300</v>
      </c>
      <c r="I261" s="7">
        <f t="shared" si="12"/>
        <v>1200</v>
      </c>
      <c r="J261" s="5" t="s">
        <v>34</v>
      </c>
      <c r="K261" s="11" t="str">
        <f t="shared" si="13"/>
        <v>mars</v>
      </c>
      <c r="L261" s="11" t="str">
        <f t="shared" si="14"/>
        <v>Non</v>
      </c>
    </row>
    <row r="262" spans="1:12" x14ac:dyDescent="0.3">
      <c r="A262" s="5" t="s">
        <v>213</v>
      </c>
      <c r="B262" s="6">
        <v>46105</v>
      </c>
      <c r="C262" s="5" t="s">
        <v>26</v>
      </c>
      <c r="D262" s="5" t="s">
        <v>27</v>
      </c>
      <c r="E262" s="5" t="s">
        <v>46</v>
      </c>
      <c r="F262" s="5" t="s">
        <v>47</v>
      </c>
      <c r="G262" s="5">
        <v>4</v>
      </c>
      <c r="H262" s="7">
        <v>300</v>
      </c>
      <c r="I262" s="7">
        <f t="shared" si="12"/>
        <v>1200</v>
      </c>
      <c r="J262" s="5" t="s">
        <v>34</v>
      </c>
      <c r="K262" s="11" t="str">
        <f t="shared" si="13"/>
        <v>mars</v>
      </c>
      <c r="L262" s="11" t="str">
        <f t="shared" si="14"/>
        <v>Non</v>
      </c>
    </row>
    <row r="263" spans="1:12" x14ac:dyDescent="0.3">
      <c r="A263" s="5" t="s">
        <v>216</v>
      </c>
      <c r="B263" s="6">
        <v>46108</v>
      </c>
      <c r="C263" s="5" t="s">
        <v>20</v>
      </c>
      <c r="D263" s="5" t="s">
        <v>32</v>
      </c>
      <c r="E263" s="5" t="s">
        <v>66</v>
      </c>
      <c r="F263" s="5" t="s">
        <v>23</v>
      </c>
      <c r="G263" s="5">
        <v>1</v>
      </c>
      <c r="H263" s="7">
        <v>1200</v>
      </c>
      <c r="I263" s="7">
        <f t="shared" si="12"/>
        <v>1200</v>
      </c>
      <c r="J263" s="5" t="s">
        <v>34</v>
      </c>
      <c r="K263" s="11" t="str">
        <f t="shared" si="13"/>
        <v>mars</v>
      </c>
      <c r="L263" s="11" t="str">
        <f t="shared" si="14"/>
        <v>Non</v>
      </c>
    </row>
    <row r="264" spans="1:12" x14ac:dyDescent="0.3">
      <c r="A264" s="5" t="s">
        <v>234</v>
      </c>
      <c r="B264" s="6">
        <v>46116</v>
      </c>
      <c r="C264" s="5" t="s">
        <v>44</v>
      </c>
      <c r="D264" s="5" t="s">
        <v>62</v>
      </c>
      <c r="E264" s="5" t="s">
        <v>66</v>
      </c>
      <c r="F264" s="5" t="s">
        <v>23</v>
      </c>
      <c r="G264" s="5">
        <v>1</v>
      </c>
      <c r="H264" s="7">
        <v>1200</v>
      </c>
      <c r="I264" s="7">
        <f t="shared" si="12"/>
        <v>1200</v>
      </c>
      <c r="J264" s="5" t="s">
        <v>34</v>
      </c>
      <c r="K264" s="11" t="str">
        <f t="shared" si="13"/>
        <v>avril</v>
      </c>
      <c r="L264" s="11" t="str">
        <f t="shared" si="14"/>
        <v>Non</v>
      </c>
    </row>
    <row r="265" spans="1:12" x14ac:dyDescent="0.3">
      <c r="A265" s="5" t="s">
        <v>253</v>
      </c>
      <c r="B265" s="6">
        <v>46124</v>
      </c>
      <c r="C265" s="5" t="s">
        <v>20</v>
      </c>
      <c r="D265" s="5" t="s">
        <v>32</v>
      </c>
      <c r="E265" s="5" t="s">
        <v>33</v>
      </c>
      <c r="F265" s="5" t="s">
        <v>23</v>
      </c>
      <c r="G265" s="5">
        <v>2</v>
      </c>
      <c r="H265" s="7">
        <v>600</v>
      </c>
      <c r="I265" s="7">
        <f t="shared" si="12"/>
        <v>1200</v>
      </c>
      <c r="J265" s="5" t="s">
        <v>24</v>
      </c>
      <c r="K265" s="11" t="str">
        <f t="shared" si="13"/>
        <v>avril</v>
      </c>
      <c r="L265" s="11" t="str">
        <f t="shared" si="14"/>
        <v>Non</v>
      </c>
    </row>
    <row r="266" spans="1:12" x14ac:dyDescent="0.3">
      <c r="A266" s="5" t="s">
        <v>258</v>
      </c>
      <c r="B266" s="6">
        <v>46127</v>
      </c>
      <c r="C266" s="5" t="s">
        <v>26</v>
      </c>
      <c r="D266" s="5" t="s">
        <v>27</v>
      </c>
      <c r="E266" s="5" t="s">
        <v>66</v>
      </c>
      <c r="F266" s="5" t="s">
        <v>23</v>
      </c>
      <c r="G266" s="5">
        <v>1</v>
      </c>
      <c r="H266" s="7">
        <v>1200</v>
      </c>
      <c r="I266" s="7">
        <f t="shared" si="12"/>
        <v>1200</v>
      </c>
      <c r="J266" s="5" t="s">
        <v>34</v>
      </c>
      <c r="K266" s="11" t="str">
        <f t="shared" si="13"/>
        <v>avril</v>
      </c>
      <c r="L266" s="11" t="str">
        <f t="shared" si="14"/>
        <v>Non</v>
      </c>
    </row>
    <row r="267" spans="1:12" x14ac:dyDescent="0.3">
      <c r="A267" s="5" t="s">
        <v>289</v>
      </c>
      <c r="B267" s="6">
        <v>46140</v>
      </c>
      <c r="C267" s="5" t="s">
        <v>20</v>
      </c>
      <c r="D267" s="5" t="s">
        <v>21</v>
      </c>
      <c r="E267" s="5" t="s">
        <v>66</v>
      </c>
      <c r="F267" s="5" t="s">
        <v>23</v>
      </c>
      <c r="G267" s="5">
        <v>1</v>
      </c>
      <c r="H267" s="7">
        <v>1200</v>
      </c>
      <c r="I267" s="7">
        <f t="shared" si="12"/>
        <v>1200</v>
      </c>
      <c r="J267" s="5" t="s">
        <v>34</v>
      </c>
      <c r="K267" s="11" t="str">
        <f t="shared" si="13"/>
        <v>avril</v>
      </c>
      <c r="L267" s="11" t="str">
        <f t="shared" si="14"/>
        <v>Non</v>
      </c>
    </row>
    <row r="268" spans="1:12" x14ac:dyDescent="0.3">
      <c r="A268" s="5" t="s">
        <v>321</v>
      </c>
      <c r="B268" s="6">
        <v>46154</v>
      </c>
      <c r="C268" s="5" t="s">
        <v>20</v>
      </c>
      <c r="D268" s="5" t="s">
        <v>21</v>
      </c>
      <c r="E268" s="5" t="s">
        <v>33</v>
      </c>
      <c r="F268" s="5" t="s">
        <v>23</v>
      </c>
      <c r="G268" s="5">
        <v>2</v>
      </c>
      <c r="H268" s="7">
        <v>600</v>
      </c>
      <c r="I268" s="7">
        <f t="shared" si="12"/>
        <v>1200</v>
      </c>
      <c r="J268" s="5" t="s">
        <v>34</v>
      </c>
      <c r="K268" s="11" t="str">
        <f t="shared" si="13"/>
        <v>mai</v>
      </c>
      <c r="L268" s="11" t="str">
        <f t="shared" si="14"/>
        <v>Non</v>
      </c>
    </row>
    <row r="269" spans="1:12" x14ac:dyDescent="0.3">
      <c r="A269" s="5" t="s">
        <v>340</v>
      </c>
      <c r="B269" s="6">
        <v>46163</v>
      </c>
      <c r="C269" s="5" t="s">
        <v>44</v>
      </c>
      <c r="D269" s="5" t="s">
        <v>62</v>
      </c>
      <c r="E269" s="5" t="s">
        <v>33</v>
      </c>
      <c r="F269" s="5" t="s">
        <v>23</v>
      </c>
      <c r="G269" s="5">
        <v>2</v>
      </c>
      <c r="H269" s="7">
        <v>600</v>
      </c>
      <c r="I269" s="7">
        <f t="shared" si="12"/>
        <v>1200</v>
      </c>
      <c r="J269" s="5" t="s">
        <v>24</v>
      </c>
      <c r="K269" s="11" t="str">
        <f t="shared" si="13"/>
        <v>mai</v>
      </c>
      <c r="L269" s="11" t="str">
        <f t="shared" si="14"/>
        <v>Non</v>
      </c>
    </row>
    <row r="270" spans="1:12" x14ac:dyDescent="0.3">
      <c r="A270" s="5" t="s">
        <v>352</v>
      </c>
      <c r="B270" s="6">
        <v>46167</v>
      </c>
      <c r="C270" s="5" t="s">
        <v>20</v>
      </c>
      <c r="D270" s="5" t="s">
        <v>21</v>
      </c>
      <c r="E270" s="5" t="s">
        <v>66</v>
      </c>
      <c r="F270" s="5" t="s">
        <v>23</v>
      </c>
      <c r="G270" s="5">
        <v>1</v>
      </c>
      <c r="H270" s="7">
        <v>1200</v>
      </c>
      <c r="I270" s="7">
        <f t="shared" si="12"/>
        <v>1200</v>
      </c>
      <c r="J270" s="5" t="s">
        <v>34</v>
      </c>
      <c r="K270" s="11" t="str">
        <f t="shared" si="13"/>
        <v>mai</v>
      </c>
      <c r="L270" s="11" t="str">
        <f t="shared" si="14"/>
        <v>Non</v>
      </c>
    </row>
    <row r="271" spans="1:12" x14ac:dyDescent="0.3">
      <c r="A271" s="5" t="s">
        <v>362</v>
      </c>
      <c r="B271" s="6">
        <v>46171</v>
      </c>
      <c r="C271" s="5" t="s">
        <v>44</v>
      </c>
      <c r="D271" s="5" t="s">
        <v>62</v>
      </c>
      <c r="E271" s="5" t="s">
        <v>66</v>
      </c>
      <c r="F271" s="5" t="s">
        <v>23</v>
      </c>
      <c r="G271" s="5">
        <v>1</v>
      </c>
      <c r="H271" s="7">
        <v>1200</v>
      </c>
      <c r="I271" s="7">
        <f t="shared" si="12"/>
        <v>1200</v>
      </c>
      <c r="J271" s="5" t="s">
        <v>34</v>
      </c>
      <c r="K271" s="11" t="str">
        <f t="shared" si="13"/>
        <v>mai</v>
      </c>
      <c r="L271" s="11" t="str">
        <f t="shared" si="14"/>
        <v>Non</v>
      </c>
    </row>
    <row r="272" spans="1:12" x14ac:dyDescent="0.3">
      <c r="A272" s="5" t="s">
        <v>365</v>
      </c>
      <c r="B272" s="6">
        <v>46172</v>
      </c>
      <c r="C272" s="5" t="s">
        <v>44</v>
      </c>
      <c r="D272" s="5" t="s">
        <v>62</v>
      </c>
      <c r="E272" s="5" t="s">
        <v>33</v>
      </c>
      <c r="F272" s="5" t="s">
        <v>23</v>
      </c>
      <c r="G272" s="5">
        <v>2</v>
      </c>
      <c r="H272" s="7">
        <v>600</v>
      </c>
      <c r="I272" s="7">
        <f t="shared" si="12"/>
        <v>1200</v>
      </c>
      <c r="J272" s="5" t="s">
        <v>34</v>
      </c>
      <c r="K272" s="11" t="str">
        <f t="shared" si="13"/>
        <v>mai</v>
      </c>
      <c r="L272" s="11" t="str">
        <f t="shared" si="14"/>
        <v>Non</v>
      </c>
    </row>
    <row r="273" spans="1:12" x14ac:dyDescent="0.3">
      <c r="A273" s="5" t="s">
        <v>373</v>
      </c>
      <c r="B273" s="6">
        <v>46175</v>
      </c>
      <c r="C273" s="5" t="s">
        <v>26</v>
      </c>
      <c r="D273" s="5" t="s">
        <v>38</v>
      </c>
      <c r="E273" s="5" t="s">
        <v>66</v>
      </c>
      <c r="F273" s="5" t="s">
        <v>23</v>
      </c>
      <c r="G273" s="5">
        <v>1</v>
      </c>
      <c r="H273" s="7">
        <v>1200</v>
      </c>
      <c r="I273" s="7">
        <f t="shared" si="12"/>
        <v>1200</v>
      </c>
      <c r="J273" s="5" t="s">
        <v>24</v>
      </c>
      <c r="K273" s="11" t="str">
        <f t="shared" si="13"/>
        <v>juin</v>
      </c>
      <c r="L273" s="11" t="str">
        <f t="shared" si="14"/>
        <v>Non</v>
      </c>
    </row>
    <row r="274" spans="1:12" x14ac:dyDescent="0.3">
      <c r="A274" s="5" t="s">
        <v>383</v>
      </c>
      <c r="B274" s="6">
        <v>46180</v>
      </c>
      <c r="C274" s="5" t="s">
        <v>20</v>
      </c>
      <c r="D274" s="5" t="s">
        <v>32</v>
      </c>
      <c r="E274" s="5" t="s">
        <v>66</v>
      </c>
      <c r="F274" s="5" t="s">
        <v>23</v>
      </c>
      <c r="G274" s="5">
        <v>1</v>
      </c>
      <c r="H274" s="7">
        <v>1200</v>
      </c>
      <c r="I274" s="7">
        <f t="shared" si="12"/>
        <v>1200</v>
      </c>
      <c r="J274" s="5" t="s">
        <v>30</v>
      </c>
      <c r="K274" s="11" t="str">
        <f t="shared" si="13"/>
        <v>juin</v>
      </c>
      <c r="L274" s="11" t="str">
        <f t="shared" si="14"/>
        <v>Non</v>
      </c>
    </row>
    <row r="275" spans="1:12" x14ac:dyDescent="0.3">
      <c r="A275" s="5" t="s">
        <v>403</v>
      </c>
      <c r="B275" s="6">
        <v>46188</v>
      </c>
      <c r="C275" s="5" t="s">
        <v>26</v>
      </c>
      <c r="D275" s="5" t="s">
        <v>38</v>
      </c>
      <c r="E275" s="5" t="s">
        <v>66</v>
      </c>
      <c r="F275" s="5" t="s">
        <v>23</v>
      </c>
      <c r="G275" s="5">
        <v>1</v>
      </c>
      <c r="H275" s="7">
        <v>1200</v>
      </c>
      <c r="I275" s="7">
        <f t="shared" si="12"/>
        <v>1200</v>
      </c>
      <c r="J275" s="5" t="s">
        <v>34</v>
      </c>
      <c r="K275" s="11" t="str">
        <f t="shared" si="13"/>
        <v>juin</v>
      </c>
      <c r="L275" s="11" t="str">
        <f t="shared" si="14"/>
        <v>Non</v>
      </c>
    </row>
    <row r="276" spans="1:12" x14ac:dyDescent="0.3">
      <c r="A276" s="5" t="s">
        <v>412</v>
      </c>
      <c r="B276" s="6">
        <v>46190</v>
      </c>
      <c r="C276" s="5" t="s">
        <v>26</v>
      </c>
      <c r="D276" s="5" t="s">
        <v>38</v>
      </c>
      <c r="E276" s="5" t="s">
        <v>46</v>
      </c>
      <c r="F276" s="5" t="s">
        <v>47</v>
      </c>
      <c r="G276" s="5">
        <v>4</v>
      </c>
      <c r="H276" s="7">
        <v>300</v>
      </c>
      <c r="I276" s="7">
        <f t="shared" si="12"/>
        <v>1200</v>
      </c>
      <c r="J276" s="5" t="s">
        <v>24</v>
      </c>
      <c r="K276" s="11" t="str">
        <f t="shared" si="13"/>
        <v>juin</v>
      </c>
      <c r="L276" s="11" t="str">
        <f t="shared" si="14"/>
        <v>Non</v>
      </c>
    </row>
    <row r="277" spans="1:12" x14ac:dyDescent="0.3">
      <c r="A277" s="5" t="s">
        <v>437</v>
      </c>
      <c r="B277" s="6">
        <v>46199</v>
      </c>
      <c r="C277" s="5" t="s">
        <v>26</v>
      </c>
      <c r="D277" s="5" t="s">
        <v>27</v>
      </c>
      <c r="E277" s="5" t="s">
        <v>66</v>
      </c>
      <c r="F277" s="5" t="s">
        <v>23</v>
      </c>
      <c r="G277" s="5">
        <v>1</v>
      </c>
      <c r="H277" s="7">
        <v>1200</v>
      </c>
      <c r="I277" s="7">
        <f t="shared" si="12"/>
        <v>1200</v>
      </c>
      <c r="J277" s="5" t="s">
        <v>34</v>
      </c>
      <c r="K277" s="11" t="str">
        <f t="shared" si="13"/>
        <v>juin</v>
      </c>
      <c r="L277" s="11" t="str">
        <f t="shared" si="14"/>
        <v>Non</v>
      </c>
    </row>
    <row r="278" spans="1:12" x14ac:dyDescent="0.3">
      <c r="A278" s="5" t="s">
        <v>19</v>
      </c>
      <c r="B278" s="6">
        <v>46024</v>
      </c>
      <c r="C278" s="5" t="s">
        <v>20</v>
      </c>
      <c r="D278" s="5" t="s">
        <v>21</v>
      </c>
      <c r="E278" s="5" t="s">
        <v>22</v>
      </c>
      <c r="F278" s="5" t="s">
        <v>23</v>
      </c>
      <c r="G278" s="5">
        <v>4</v>
      </c>
      <c r="H278" s="7">
        <v>250</v>
      </c>
      <c r="I278" s="7">
        <f t="shared" si="12"/>
        <v>1000</v>
      </c>
      <c r="J278" s="5" t="s">
        <v>24</v>
      </c>
      <c r="K278" s="11" t="str">
        <f t="shared" si="13"/>
        <v>janvier</v>
      </c>
      <c r="L278" s="11" t="str">
        <f t="shared" si="14"/>
        <v>Non</v>
      </c>
    </row>
    <row r="279" spans="1:12" x14ac:dyDescent="0.3">
      <c r="A279" s="5" t="s">
        <v>56</v>
      </c>
      <c r="B279" s="6">
        <v>46033</v>
      </c>
      <c r="C279" s="5" t="s">
        <v>20</v>
      </c>
      <c r="D279" s="5" t="s">
        <v>32</v>
      </c>
      <c r="E279" s="5" t="s">
        <v>57</v>
      </c>
      <c r="F279" s="5" t="s">
        <v>52</v>
      </c>
      <c r="G279" s="5">
        <v>1</v>
      </c>
      <c r="H279" s="7">
        <v>1000</v>
      </c>
      <c r="I279" s="7">
        <f t="shared" si="12"/>
        <v>1000</v>
      </c>
      <c r="J279" s="5" t="s">
        <v>24</v>
      </c>
      <c r="K279" s="11" t="str">
        <f t="shared" si="13"/>
        <v>janvier</v>
      </c>
      <c r="L279" s="11" t="str">
        <f t="shared" si="14"/>
        <v>Non</v>
      </c>
    </row>
    <row r="280" spans="1:12" x14ac:dyDescent="0.3">
      <c r="A280" s="5" t="s">
        <v>63</v>
      </c>
      <c r="B280" s="6">
        <v>46034</v>
      </c>
      <c r="C280" s="5" t="s">
        <v>26</v>
      </c>
      <c r="D280" s="5" t="s">
        <v>38</v>
      </c>
      <c r="E280" s="5" t="s">
        <v>57</v>
      </c>
      <c r="F280" s="5" t="s">
        <v>52</v>
      </c>
      <c r="G280" s="5">
        <v>1</v>
      </c>
      <c r="H280" s="7">
        <v>1000</v>
      </c>
      <c r="I280" s="7">
        <f t="shared" si="12"/>
        <v>1000</v>
      </c>
      <c r="J280" s="5" t="s">
        <v>34</v>
      </c>
      <c r="K280" s="11" t="str">
        <f t="shared" si="13"/>
        <v>janvier</v>
      </c>
      <c r="L280" s="11" t="str">
        <f t="shared" si="14"/>
        <v>Non</v>
      </c>
    </row>
    <row r="281" spans="1:12" x14ac:dyDescent="0.3">
      <c r="A281" s="5" t="s">
        <v>96</v>
      </c>
      <c r="B281" s="6">
        <v>46048</v>
      </c>
      <c r="C281" s="5" t="s">
        <v>44</v>
      </c>
      <c r="D281" s="5" t="s">
        <v>45</v>
      </c>
      <c r="E281" s="5" t="s">
        <v>57</v>
      </c>
      <c r="F281" s="5" t="s">
        <v>52</v>
      </c>
      <c r="G281" s="5">
        <v>1</v>
      </c>
      <c r="H281" s="7">
        <v>1000</v>
      </c>
      <c r="I281" s="7">
        <f t="shared" si="12"/>
        <v>1000</v>
      </c>
      <c r="J281" s="5" t="s">
        <v>30</v>
      </c>
      <c r="K281" s="11" t="str">
        <f t="shared" si="13"/>
        <v>janvier</v>
      </c>
      <c r="L281" s="11" t="str">
        <f t="shared" si="14"/>
        <v>Non</v>
      </c>
    </row>
    <row r="282" spans="1:12" x14ac:dyDescent="0.3">
      <c r="A282" s="5" t="s">
        <v>102</v>
      </c>
      <c r="B282" s="6">
        <v>46050</v>
      </c>
      <c r="C282" s="5" t="s">
        <v>44</v>
      </c>
      <c r="D282" s="5" t="s">
        <v>45</v>
      </c>
      <c r="E282" s="5" t="s">
        <v>57</v>
      </c>
      <c r="F282" s="5" t="s">
        <v>52</v>
      </c>
      <c r="G282" s="5">
        <v>1</v>
      </c>
      <c r="H282" s="7">
        <v>1000</v>
      </c>
      <c r="I282" s="7">
        <f t="shared" si="12"/>
        <v>1000</v>
      </c>
      <c r="J282" s="5" t="s">
        <v>30</v>
      </c>
      <c r="K282" s="11" t="str">
        <f t="shared" si="13"/>
        <v>janvier</v>
      </c>
      <c r="L282" s="11" t="str">
        <f t="shared" si="14"/>
        <v>Non</v>
      </c>
    </row>
    <row r="283" spans="1:12" x14ac:dyDescent="0.3">
      <c r="A283" s="5" t="s">
        <v>104</v>
      </c>
      <c r="B283" s="6">
        <v>46050</v>
      </c>
      <c r="C283" s="5" t="s">
        <v>20</v>
      </c>
      <c r="D283" s="5" t="s">
        <v>32</v>
      </c>
      <c r="E283" s="5" t="s">
        <v>57</v>
      </c>
      <c r="F283" s="5" t="s">
        <v>52</v>
      </c>
      <c r="G283" s="5">
        <v>1</v>
      </c>
      <c r="H283" s="7">
        <v>1000</v>
      </c>
      <c r="I283" s="7">
        <f t="shared" si="12"/>
        <v>1000</v>
      </c>
      <c r="J283" s="5" t="s">
        <v>34</v>
      </c>
      <c r="K283" s="11" t="str">
        <f t="shared" si="13"/>
        <v>janvier</v>
      </c>
      <c r="L283" s="11" t="str">
        <f t="shared" si="14"/>
        <v>Non</v>
      </c>
    </row>
    <row r="284" spans="1:12" x14ac:dyDescent="0.3">
      <c r="A284" s="5" t="s">
        <v>121</v>
      </c>
      <c r="B284" s="6">
        <v>46057</v>
      </c>
      <c r="C284" s="5" t="s">
        <v>26</v>
      </c>
      <c r="D284" s="5" t="s">
        <v>38</v>
      </c>
      <c r="E284" s="5" t="s">
        <v>22</v>
      </c>
      <c r="F284" s="5" t="s">
        <v>23</v>
      </c>
      <c r="G284" s="5">
        <v>4</v>
      </c>
      <c r="H284" s="7">
        <v>250</v>
      </c>
      <c r="I284" s="7">
        <f t="shared" si="12"/>
        <v>1000</v>
      </c>
      <c r="J284" s="5" t="s">
        <v>34</v>
      </c>
      <c r="K284" s="11" t="str">
        <f t="shared" si="13"/>
        <v>février</v>
      </c>
      <c r="L284" s="11" t="str">
        <f t="shared" si="14"/>
        <v>Non</v>
      </c>
    </row>
    <row r="285" spans="1:12" x14ac:dyDescent="0.3">
      <c r="A285" s="5" t="s">
        <v>143</v>
      </c>
      <c r="B285" s="6">
        <v>46065</v>
      </c>
      <c r="C285" s="5" t="s">
        <v>20</v>
      </c>
      <c r="D285" s="5" t="s">
        <v>21</v>
      </c>
      <c r="E285" s="5" t="s">
        <v>57</v>
      </c>
      <c r="F285" s="5" t="s">
        <v>52</v>
      </c>
      <c r="G285" s="5">
        <v>1</v>
      </c>
      <c r="H285" s="7">
        <v>1000</v>
      </c>
      <c r="I285" s="7">
        <f t="shared" si="12"/>
        <v>1000</v>
      </c>
      <c r="J285" s="5" t="s">
        <v>34</v>
      </c>
      <c r="K285" s="11" t="str">
        <f t="shared" si="13"/>
        <v>février</v>
      </c>
      <c r="L285" s="11" t="str">
        <f t="shared" si="14"/>
        <v>Non</v>
      </c>
    </row>
    <row r="286" spans="1:12" x14ac:dyDescent="0.3">
      <c r="A286" s="5" t="s">
        <v>177</v>
      </c>
      <c r="B286" s="6">
        <v>46085</v>
      </c>
      <c r="C286" s="5" t="s">
        <v>26</v>
      </c>
      <c r="D286" s="5" t="s">
        <v>38</v>
      </c>
      <c r="E286" s="5" t="s">
        <v>51</v>
      </c>
      <c r="F286" s="5" t="s">
        <v>52</v>
      </c>
      <c r="G286" s="5">
        <v>2</v>
      </c>
      <c r="H286" s="7">
        <v>500</v>
      </c>
      <c r="I286" s="7">
        <f t="shared" si="12"/>
        <v>1000</v>
      </c>
      <c r="J286" s="5" t="s">
        <v>24</v>
      </c>
      <c r="K286" s="11" t="str">
        <f t="shared" si="13"/>
        <v>mars</v>
      </c>
      <c r="L286" s="11" t="str">
        <f t="shared" si="14"/>
        <v>Non</v>
      </c>
    </row>
    <row r="287" spans="1:12" x14ac:dyDescent="0.3">
      <c r="A287" s="5" t="s">
        <v>242</v>
      </c>
      <c r="B287" s="6">
        <v>46120</v>
      </c>
      <c r="C287" s="5" t="s">
        <v>20</v>
      </c>
      <c r="D287" s="5" t="s">
        <v>32</v>
      </c>
      <c r="E287" s="5" t="s">
        <v>57</v>
      </c>
      <c r="F287" s="5" t="s">
        <v>52</v>
      </c>
      <c r="G287" s="5">
        <v>1</v>
      </c>
      <c r="H287" s="7">
        <v>1000</v>
      </c>
      <c r="I287" s="7">
        <f t="shared" si="12"/>
        <v>1000</v>
      </c>
      <c r="J287" s="5" t="s">
        <v>34</v>
      </c>
      <c r="K287" s="11" t="str">
        <f t="shared" si="13"/>
        <v>avril</v>
      </c>
      <c r="L287" s="11" t="str">
        <f t="shared" si="14"/>
        <v>Non</v>
      </c>
    </row>
    <row r="288" spans="1:12" x14ac:dyDescent="0.3">
      <c r="A288" s="5" t="s">
        <v>265</v>
      </c>
      <c r="B288" s="6">
        <v>46130</v>
      </c>
      <c r="C288" s="5" t="s">
        <v>20</v>
      </c>
      <c r="D288" s="5" t="s">
        <v>32</v>
      </c>
      <c r="E288" s="5" t="s">
        <v>57</v>
      </c>
      <c r="F288" s="5" t="s">
        <v>52</v>
      </c>
      <c r="G288" s="5">
        <v>1</v>
      </c>
      <c r="H288" s="7">
        <v>1000</v>
      </c>
      <c r="I288" s="7">
        <f t="shared" si="12"/>
        <v>1000</v>
      </c>
      <c r="J288" s="5" t="s">
        <v>30</v>
      </c>
      <c r="K288" s="11" t="str">
        <f t="shared" si="13"/>
        <v>avril</v>
      </c>
      <c r="L288" s="11" t="str">
        <f t="shared" si="14"/>
        <v>Non</v>
      </c>
    </row>
    <row r="289" spans="1:12" x14ac:dyDescent="0.3">
      <c r="A289" s="5" t="s">
        <v>286</v>
      </c>
      <c r="B289" s="6">
        <v>46139</v>
      </c>
      <c r="C289" s="5" t="s">
        <v>20</v>
      </c>
      <c r="D289" s="5" t="s">
        <v>21</v>
      </c>
      <c r="E289" s="5" t="s">
        <v>22</v>
      </c>
      <c r="F289" s="5" t="s">
        <v>23</v>
      </c>
      <c r="G289" s="5">
        <v>4</v>
      </c>
      <c r="H289" s="7">
        <v>250</v>
      </c>
      <c r="I289" s="7">
        <f t="shared" si="12"/>
        <v>1000</v>
      </c>
      <c r="J289" s="5" t="s">
        <v>34</v>
      </c>
      <c r="K289" s="11" t="str">
        <f t="shared" si="13"/>
        <v>avril</v>
      </c>
      <c r="L289" s="11" t="str">
        <f t="shared" si="14"/>
        <v>Non</v>
      </c>
    </row>
    <row r="290" spans="1:12" x14ac:dyDescent="0.3">
      <c r="A290" s="5" t="s">
        <v>310</v>
      </c>
      <c r="B290" s="6">
        <v>46147</v>
      </c>
      <c r="C290" s="5" t="s">
        <v>44</v>
      </c>
      <c r="D290" s="5" t="s">
        <v>62</v>
      </c>
      <c r="E290" s="5" t="s">
        <v>51</v>
      </c>
      <c r="F290" s="5" t="s">
        <v>52</v>
      </c>
      <c r="G290" s="5">
        <v>2</v>
      </c>
      <c r="H290" s="7">
        <v>500</v>
      </c>
      <c r="I290" s="7">
        <f t="shared" si="12"/>
        <v>1000</v>
      </c>
      <c r="J290" s="5" t="s">
        <v>34</v>
      </c>
      <c r="K290" s="11" t="str">
        <f t="shared" si="13"/>
        <v>mai</v>
      </c>
      <c r="L290" s="11" t="str">
        <f t="shared" si="14"/>
        <v>Non</v>
      </c>
    </row>
    <row r="291" spans="1:12" x14ac:dyDescent="0.3">
      <c r="A291" s="5" t="s">
        <v>368</v>
      </c>
      <c r="B291" s="6">
        <v>46173</v>
      </c>
      <c r="C291" s="5" t="s">
        <v>20</v>
      </c>
      <c r="D291" s="5" t="s">
        <v>32</v>
      </c>
      <c r="E291" s="5" t="s">
        <v>51</v>
      </c>
      <c r="F291" s="5" t="s">
        <v>52</v>
      </c>
      <c r="G291" s="5">
        <v>2</v>
      </c>
      <c r="H291" s="7">
        <v>500</v>
      </c>
      <c r="I291" s="7">
        <f t="shared" si="12"/>
        <v>1000</v>
      </c>
      <c r="J291" s="5" t="s">
        <v>30</v>
      </c>
      <c r="K291" s="11" t="str">
        <f t="shared" si="13"/>
        <v>mai</v>
      </c>
      <c r="L291" s="11" t="str">
        <f t="shared" si="14"/>
        <v>Non</v>
      </c>
    </row>
    <row r="292" spans="1:12" x14ac:dyDescent="0.3">
      <c r="A292" s="5" t="s">
        <v>382</v>
      </c>
      <c r="B292" s="6">
        <v>46180</v>
      </c>
      <c r="C292" s="5" t="s">
        <v>26</v>
      </c>
      <c r="D292" s="5" t="s">
        <v>38</v>
      </c>
      <c r="E292" s="5" t="s">
        <v>57</v>
      </c>
      <c r="F292" s="5" t="s">
        <v>52</v>
      </c>
      <c r="G292" s="5">
        <v>1</v>
      </c>
      <c r="H292" s="7">
        <v>1000</v>
      </c>
      <c r="I292" s="7">
        <f t="shared" si="12"/>
        <v>1000</v>
      </c>
      <c r="J292" s="5" t="s">
        <v>34</v>
      </c>
      <c r="K292" s="11" t="str">
        <f t="shared" si="13"/>
        <v>juin</v>
      </c>
      <c r="L292" s="11" t="str">
        <f t="shared" si="14"/>
        <v>Non</v>
      </c>
    </row>
    <row r="293" spans="1:12" x14ac:dyDescent="0.3">
      <c r="A293" s="5" t="s">
        <v>405</v>
      </c>
      <c r="B293" s="6">
        <v>46188</v>
      </c>
      <c r="C293" s="5" t="s">
        <v>20</v>
      </c>
      <c r="D293" s="5" t="s">
        <v>32</v>
      </c>
      <c r="E293" s="5" t="s">
        <v>51</v>
      </c>
      <c r="F293" s="5" t="s">
        <v>52</v>
      </c>
      <c r="G293" s="5">
        <v>2</v>
      </c>
      <c r="H293" s="7">
        <v>500</v>
      </c>
      <c r="I293" s="7">
        <f t="shared" si="12"/>
        <v>1000</v>
      </c>
      <c r="J293" s="5" t="s">
        <v>34</v>
      </c>
      <c r="K293" s="11" t="str">
        <f t="shared" si="13"/>
        <v>juin</v>
      </c>
      <c r="L293" s="11" t="str">
        <f t="shared" si="14"/>
        <v>Non</v>
      </c>
    </row>
    <row r="294" spans="1:12" x14ac:dyDescent="0.3">
      <c r="A294" s="5" t="s">
        <v>435</v>
      </c>
      <c r="B294" s="6">
        <v>46198</v>
      </c>
      <c r="C294" s="5" t="s">
        <v>20</v>
      </c>
      <c r="D294" s="5" t="s">
        <v>21</v>
      </c>
      <c r="E294" s="5" t="s">
        <v>57</v>
      </c>
      <c r="F294" s="5" t="s">
        <v>52</v>
      </c>
      <c r="G294" s="5">
        <v>1</v>
      </c>
      <c r="H294" s="7">
        <v>1000</v>
      </c>
      <c r="I294" s="7">
        <f t="shared" si="12"/>
        <v>1000</v>
      </c>
      <c r="J294" s="5" t="s">
        <v>30</v>
      </c>
      <c r="K294" s="11" t="str">
        <f t="shared" si="13"/>
        <v>juin</v>
      </c>
      <c r="L294" s="11" t="str">
        <f t="shared" si="14"/>
        <v>Non</v>
      </c>
    </row>
    <row r="295" spans="1:12" x14ac:dyDescent="0.3">
      <c r="A295" s="5" t="s">
        <v>75</v>
      </c>
      <c r="B295" s="6">
        <v>46040</v>
      </c>
      <c r="C295" s="5" t="s">
        <v>20</v>
      </c>
      <c r="D295" s="5" t="s">
        <v>32</v>
      </c>
      <c r="E295" s="5" t="s">
        <v>73</v>
      </c>
      <c r="F295" s="5" t="s">
        <v>47</v>
      </c>
      <c r="G295" s="5">
        <v>1</v>
      </c>
      <c r="H295" s="7">
        <v>900</v>
      </c>
      <c r="I295" s="7">
        <f t="shared" si="12"/>
        <v>900</v>
      </c>
      <c r="J295" s="5" t="s">
        <v>30</v>
      </c>
      <c r="K295" s="11" t="str">
        <f t="shared" si="13"/>
        <v>janvier</v>
      </c>
      <c r="L295" s="11" t="str">
        <f t="shared" si="14"/>
        <v>Non</v>
      </c>
    </row>
    <row r="296" spans="1:12" x14ac:dyDescent="0.3">
      <c r="A296" s="5" t="s">
        <v>79</v>
      </c>
      <c r="B296" s="6">
        <v>46042</v>
      </c>
      <c r="C296" s="5" t="s">
        <v>44</v>
      </c>
      <c r="D296" s="5" t="s">
        <v>62</v>
      </c>
      <c r="E296" s="5" t="s">
        <v>39</v>
      </c>
      <c r="F296" s="5" t="s">
        <v>29</v>
      </c>
      <c r="G296" s="5">
        <v>2</v>
      </c>
      <c r="H296" s="7">
        <v>450</v>
      </c>
      <c r="I296" s="7">
        <f t="shared" si="12"/>
        <v>900</v>
      </c>
      <c r="J296" s="5" t="s">
        <v>34</v>
      </c>
      <c r="K296" s="11" t="str">
        <f t="shared" si="13"/>
        <v>janvier</v>
      </c>
      <c r="L296" s="11" t="str">
        <f t="shared" si="14"/>
        <v>Non</v>
      </c>
    </row>
    <row r="297" spans="1:12" x14ac:dyDescent="0.3">
      <c r="A297" s="5" t="s">
        <v>95</v>
      </c>
      <c r="B297" s="6">
        <v>46046</v>
      </c>
      <c r="C297" s="5" t="s">
        <v>20</v>
      </c>
      <c r="D297" s="5" t="s">
        <v>21</v>
      </c>
      <c r="E297" s="5" t="s">
        <v>39</v>
      </c>
      <c r="F297" s="5" t="s">
        <v>29</v>
      </c>
      <c r="G297" s="5">
        <v>2</v>
      </c>
      <c r="H297" s="7">
        <v>450</v>
      </c>
      <c r="I297" s="7">
        <f t="shared" si="12"/>
        <v>900</v>
      </c>
      <c r="J297" s="5" t="s">
        <v>34</v>
      </c>
      <c r="K297" s="11" t="str">
        <f t="shared" si="13"/>
        <v>janvier</v>
      </c>
      <c r="L297" s="11" t="str">
        <f t="shared" si="14"/>
        <v>Non</v>
      </c>
    </row>
    <row r="298" spans="1:12" x14ac:dyDescent="0.3">
      <c r="A298" s="5" t="s">
        <v>110</v>
      </c>
      <c r="B298" s="6">
        <v>46053</v>
      </c>
      <c r="C298" s="5" t="s">
        <v>44</v>
      </c>
      <c r="D298" s="5" t="s">
        <v>45</v>
      </c>
      <c r="E298" s="5" t="s">
        <v>39</v>
      </c>
      <c r="F298" s="5" t="s">
        <v>29</v>
      </c>
      <c r="G298" s="5">
        <v>2</v>
      </c>
      <c r="H298" s="7">
        <v>450</v>
      </c>
      <c r="I298" s="7">
        <f t="shared" si="12"/>
        <v>900</v>
      </c>
      <c r="J298" s="5" t="s">
        <v>30</v>
      </c>
      <c r="K298" s="11" t="str">
        <f t="shared" si="13"/>
        <v>janvier</v>
      </c>
      <c r="L298" s="11" t="str">
        <f t="shared" si="14"/>
        <v>Non</v>
      </c>
    </row>
    <row r="299" spans="1:12" x14ac:dyDescent="0.3">
      <c r="A299" s="5" t="s">
        <v>179</v>
      </c>
      <c r="B299" s="6">
        <v>46086</v>
      </c>
      <c r="C299" s="5" t="s">
        <v>20</v>
      </c>
      <c r="D299" s="5" t="s">
        <v>21</v>
      </c>
      <c r="E299" s="5" t="s">
        <v>39</v>
      </c>
      <c r="F299" s="5" t="s">
        <v>29</v>
      </c>
      <c r="G299" s="5">
        <v>2</v>
      </c>
      <c r="H299" s="7">
        <v>450</v>
      </c>
      <c r="I299" s="7">
        <f t="shared" si="12"/>
        <v>900</v>
      </c>
      <c r="J299" s="5" t="s">
        <v>30</v>
      </c>
      <c r="K299" s="11" t="str">
        <f t="shared" si="13"/>
        <v>mars</v>
      </c>
      <c r="L299" s="11" t="str">
        <f t="shared" si="14"/>
        <v>Non</v>
      </c>
    </row>
    <row r="300" spans="1:12" x14ac:dyDescent="0.3">
      <c r="A300" s="5" t="s">
        <v>198</v>
      </c>
      <c r="B300" s="6">
        <v>46096</v>
      </c>
      <c r="C300" s="5" t="s">
        <v>26</v>
      </c>
      <c r="D300" s="5" t="s">
        <v>38</v>
      </c>
      <c r="E300" s="5" t="s">
        <v>39</v>
      </c>
      <c r="F300" s="5" t="s">
        <v>29</v>
      </c>
      <c r="G300" s="5">
        <v>2</v>
      </c>
      <c r="H300" s="7">
        <v>450</v>
      </c>
      <c r="I300" s="7">
        <f t="shared" si="12"/>
        <v>900</v>
      </c>
      <c r="J300" s="5" t="s">
        <v>30</v>
      </c>
      <c r="K300" s="11" t="str">
        <f t="shared" si="13"/>
        <v>mars</v>
      </c>
      <c r="L300" s="11" t="str">
        <f t="shared" si="14"/>
        <v>Non</v>
      </c>
    </row>
    <row r="301" spans="1:12" x14ac:dyDescent="0.3">
      <c r="A301" s="5" t="s">
        <v>221</v>
      </c>
      <c r="B301" s="6">
        <v>46109</v>
      </c>
      <c r="C301" s="5" t="s">
        <v>26</v>
      </c>
      <c r="D301" s="5" t="s">
        <v>27</v>
      </c>
      <c r="E301" s="5" t="s">
        <v>39</v>
      </c>
      <c r="F301" s="5" t="s">
        <v>29</v>
      </c>
      <c r="G301" s="5">
        <v>2</v>
      </c>
      <c r="H301" s="7">
        <v>450</v>
      </c>
      <c r="I301" s="7">
        <f t="shared" si="12"/>
        <v>900</v>
      </c>
      <c r="J301" s="5" t="s">
        <v>34</v>
      </c>
      <c r="K301" s="11" t="str">
        <f t="shared" si="13"/>
        <v>mars</v>
      </c>
      <c r="L301" s="11" t="str">
        <f t="shared" si="14"/>
        <v>Non</v>
      </c>
    </row>
    <row r="302" spans="1:12" x14ac:dyDescent="0.3">
      <c r="A302" s="5" t="s">
        <v>248</v>
      </c>
      <c r="B302" s="6">
        <v>46122</v>
      </c>
      <c r="C302" s="5" t="s">
        <v>20</v>
      </c>
      <c r="D302" s="5" t="s">
        <v>21</v>
      </c>
      <c r="E302" s="5" t="s">
        <v>73</v>
      </c>
      <c r="F302" s="5" t="s">
        <v>47</v>
      </c>
      <c r="G302" s="5">
        <v>1</v>
      </c>
      <c r="H302" s="7">
        <v>900</v>
      </c>
      <c r="I302" s="7">
        <f t="shared" si="12"/>
        <v>900</v>
      </c>
      <c r="J302" s="5" t="s">
        <v>34</v>
      </c>
      <c r="K302" s="11" t="str">
        <f t="shared" si="13"/>
        <v>avril</v>
      </c>
      <c r="L302" s="11" t="str">
        <f t="shared" si="14"/>
        <v>Non</v>
      </c>
    </row>
    <row r="303" spans="1:12" x14ac:dyDescent="0.3">
      <c r="A303" s="5" t="s">
        <v>290</v>
      </c>
      <c r="B303" s="6">
        <v>46140</v>
      </c>
      <c r="C303" s="5" t="s">
        <v>44</v>
      </c>
      <c r="D303" s="5" t="s">
        <v>62</v>
      </c>
      <c r="E303" s="5" t="s">
        <v>73</v>
      </c>
      <c r="F303" s="5" t="s">
        <v>47</v>
      </c>
      <c r="G303" s="5">
        <v>1</v>
      </c>
      <c r="H303" s="7">
        <v>900</v>
      </c>
      <c r="I303" s="7">
        <f t="shared" si="12"/>
        <v>900</v>
      </c>
      <c r="J303" s="5" t="s">
        <v>34</v>
      </c>
      <c r="K303" s="11" t="str">
        <f t="shared" si="13"/>
        <v>avril</v>
      </c>
      <c r="L303" s="11" t="str">
        <f t="shared" si="14"/>
        <v>Non</v>
      </c>
    </row>
    <row r="304" spans="1:12" x14ac:dyDescent="0.3">
      <c r="A304" s="5" t="s">
        <v>299</v>
      </c>
      <c r="B304" s="6">
        <v>46143</v>
      </c>
      <c r="C304" s="5" t="s">
        <v>20</v>
      </c>
      <c r="D304" s="5" t="s">
        <v>32</v>
      </c>
      <c r="E304" s="5" t="s">
        <v>39</v>
      </c>
      <c r="F304" s="5" t="s">
        <v>29</v>
      </c>
      <c r="G304" s="5">
        <v>2</v>
      </c>
      <c r="H304" s="7">
        <v>450</v>
      </c>
      <c r="I304" s="7">
        <f t="shared" si="12"/>
        <v>900</v>
      </c>
      <c r="J304" s="5" t="s">
        <v>30</v>
      </c>
      <c r="K304" s="11" t="str">
        <f t="shared" si="13"/>
        <v>mai</v>
      </c>
      <c r="L304" s="11" t="str">
        <f t="shared" si="14"/>
        <v>Non</v>
      </c>
    </row>
    <row r="305" spans="1:12" x14ac:dyDescent="0.3">
      <c r="A305" s="5" t="s">
        <v>301</v>
      </c>
      <c r="B305" s="6">
        <v>46143</v>
      </c>
      <c r="C305" s="5" t="s">
        <v>44</v>
      </c>
      <c r="D305" s="5" t="s">
        <v>45</v>
      </c>
      <c r="E305" s="5" t="s">
        <v>73</v>
      </c>
      <c r="F305" s="5" t="s">
        <v>47</v>
      </c>
      <c r="G305" s="5">
        <v>1</v>
      </c>
      <c r="H305" s="7">
        <v>900</v>
      </c>
      <c r="I305" s="7">
        <f t="shared" si="12"/>
        <v>900</v>
      </c>
      <c r="J305" s="5" t="s">
        <v>34</v>
      </c>
      <c r="K305" s="11" t="str">
        <f t="shared" si="13"/>
        <v>mai</v>
      </c>
      <c r="L305" s="11" t="str">
        <f t="shared" si="14"/>
        <v>Non</v>
      </c>
    </row>
    <row r="306" spans="1:12" x14ac:dyDescent="0.3">
      <c r="A306" s="5" t="s">
        <v>322</v>
      </c>
      <c r="B306" s="6">
        <v>46155</v>
      </c>
      <c r="C306" s="5" t="s">
        <v>20</v>
      </c>
      <c r="D306" s="5" t="s">
        <v>32</v>
      </c>
      <c r="E306" s="5" t="s">
        <v>39</v>
      </c>
      <c r="F306" s="5" t="s">
        <v>29</v>
      </c>
      <c r="G306" s="5">
        <v>2</v>
      </c>
      <c r="H306" s="7">
        <v>450</v>
      </c>
      <c r="I306" s="7">
        <f t="shared" si="12"/>
        <v>900</v>
      </c>
      <c r="J306" s="5" t="s">
        <v>34</v>
      </c>
      <c r="K306" s="11" t="str">
        <f t="shared" si="13"/>
        <v>mai</v>
      </c>
      <c r="L306" s="11" t="str">
        <f t="shared" si="14"/>
        <v>Non</v>
      </c>
    </row>
    <row r="307" spans="1:12" x14ac:dyDescent="0.3">
      <c r="A307" s="5" t="s">
        <v>332</v>
      </c>
      <c r="B307" s="6">
        <v>46161</v>
      </c>
      <c r="C307" s="5" t="s">
        <v>44</v>
      </c>
      <c r="D307" s="5" t="s">
        <v>45</v>
      </c>
      <c r="E307" s="5" t="s">
        <v>46</v>
      </c>
      <c r="F307" s="5" t="s">
        <v>47</v>
      </c>
      <c r="G307" s="5">
        <v>3</v>
      </c>
      <c r="H307" s="7">
        <v>300</v>
      </c>
      <c r="I307" s="7">
        <f t="shared" si="12"/>
        <v>900</v>
      </c>
      <c r="J307" s="5" t="s">
        <v>34</v>
      </c>
      <c r="K307" s="11" t="str">
        <f t="shared" si="13"/>
        <v>mai</v>
      </c>
      <c r="L307" s="11" t="str">
        <f t="shared" si="14"/>
        <v>Non</v>
      </c>
    </row>
    <row r="308" spans="1:12" x14ac:dyDescent="0.3">
      <c r="A308" s="5" t="s">
        <v>408</v>
      </c>
      <c r="B308" s="6">
        <v>46189</v>
      </c>
      <c r="C308" s="5" t="s">
        <v>26</v>
      </c>
      <c r="D308" s="5" t="s">
        <v>27</v>
      </c>
      <c r="E308" s="5" t="s">
        <v>39</v>
      </c>
      <c r="F308" s="5" t="s">
        <v>29</v>
      </c>
      <c r="G308" s="5">
        <v>2</v>
      </c>
      <c r="H308" s="7">
        <v>450</v>
      </c>
      <c r="I308" s="7">
        <f t="shared" si="12"/>
        <v>900</v>
      </c>
      <c r="J308" s="5" t="s">
        <v>30</v>
      </c>
      <c r="K308" s="11" t="str">
        <f t="shared" si="13"/>
        <v>juin</v>
      </c>
      <c r="L308" s="11" t="str">
        <f t="shared" si="14"/>
        <v>Non</v>
      </c>
    </row>
    <row r="309" spans="1:12" x14ac:dyDescent="0.3">
      <c r="A309" s="5" t="s">
        <v>416</v>
      </c>
      <c r="B309" s="6">
        <v>46190</v>
      </c>
      <c r="C309" s="5" t="s">
        <v>44</v>
      </c>
      <c r="D309" s="5" t="s">
        <v>45</v>
      </c>
      <c r="E309" s="5" t="s">
        <v>73</v>
      </c>
      <c r="F309" s="5" t="s">
        <v>47</v>
      </c>
      <c r="G309" s="5">
        <v>1</v>
      </c>
      <c r="H309" s="7">
        <v>900</v>
      </c>
      <c r="I309" s="7">
        <f t="shared" si="12"/>
        <v>900</v>
      </c>
      <c r="J309" s="5" t="s">
        <v>34</v>
      </c>
      <c r="K309" s="11" t="str">
        <f t="shared" si="13"/>
        <v>juin</v>
      </c>
      <c r="L309" s="11" t="str">
        <f t="shared" si="14"/>
        <v>Non</v>
      </c>
    </row>
    <row r="310" spans="1:12" x14ac:dyDescent="0.3">
      <c r="A310" s="5" t="s">
        <v>433</v>
      </c>
      <c r="B310" s="6">
        <v>46198</v>
      </c>
      <c r="C310" s="5" t="s">
        <v>20</v>
      </c>
      <c r="D310" s="5" t="s">
        <v>32</v>
      </c>
      <c r="E310" s="5" t="s">
        <v>73</v>
      </c>
      <c r="F310" s="5" t="s">
        <v>47</v>
      </c>
      <c r="G310" s="5">
        <v>1</v>
      </c>
      <c r="H310" s="7">
        <v>900</v>
      </c>
      <c r="I310" s="7">
        <f t="shared" si="12"/>
        <v>900</v>
      </c>
      <c r="J310" s="5" t="s">
        <v>34</v>
      </c>
      <c r="K310" s="11" t="str">
        <f t="shared" si="13"/>
        <v>juin</v>
      </c>
      <c r="L310" s="11" t="str">
        <f t="shared" si="14"/>
        <v>Non</v>
      </c>
    </row>
    <row r="311" spans="1:12" x14ac:dyDescent="0.3">
      <c r="A311" s="5" t="s">
        <v>25</v>
      </c>
      <c r="B311" s="6">
        <v>46024</v>
      </c>
      <c r="C311" s="5" t="s">
        <v>26</v>
      </c>
      <c r="D311" s="5" t="s">
        <v>27</v>
      </c>
      <c r="E311" s="5" t="s">
        <v>28</v>
      </c>
      <c r="F311" s="5" t="s">
        <v>29</v>
      </c>
      <c r="G311" s="5">
        <v>2</v>
      </c>
      <c r="H311" s="7">
        <v>400</v>
      </c>
      <c r="I311" s="7">
        <f t="shared" si="12"/>
        <v>800</v>
      </c>
      <c r="J311" s="5" t="s">
        <v>30</v>
      </c>
      <c r="K311" s="11" t="str">
        <f t="shared" si="13"/>
        <v>janvier</v>
      </c>
      <c r="L311" s="11" t="str">
        <f t="shared" si="14"/>
        <v>Non</v>
      </c>
    </row>
    <row r="312" spans="1:12" x14ac:dyDescent="0.3">
      <c r="A312" s="5" t="s">
        <v>77</v>
      </c>
      <c r="B312" s="6">
        <v>46041</v>
      </c>
      <c r="C312" s="5" t="s">
        <v>44</v>
      </c>
      <c r="D312" s="5" t="s">
        <v>45</v>
      </c>
      <c r="E312" s="5" t="s">
        <v>36</v>
      </c>
      <c r="F312" s="5" t="s">
        <v>29</v>
      </c>
      <c r="G312" s="5">
        <v>1</v>
      </c>
      <c r="H312" s="7">
        <v>800</v>
      </c>
      <c r="I312" s="7">
        <f t="shared" si="12"/>
        <v>800</v>
      </c>
      <c r="J312" s="5" t="s">
        <v>30</v>
      </c>
      <c r="K312" s="11" t="str">
        <f t="shared" si="13"/>
        <v>janvier</v>
      </c>
      <c r="L312" s="11" t="str">
        <f t="shared" si="14"/>
        <v>Non</v>
      </c>
    </row>
    <row r="313" spans="1:12" x14ac:dyDescent="0.3">
      <c r="A313" s="5" t="s">
        <v>91</v>
      </c>
      <c r="B313" s="6">
        <v>46046</v>
      </c>
      <c r="C313" s="5" t="s">
        <v>26</v>
      </c>
      <c r="D313" s="5" t="s">
        <v>27</v>
      </c>
      <c r="E313" s="5" t="s">
        <v>36</v>
      </c>
      <c r="F313" s="5" t="s">
        <v>29</v>
      </c>
      <c r="G313" s="5">
        <v>1</v>
      </c>
      <c r="H313" s="7">
        <v>800</v>
      </c>
      <c r="I313" s="7">
        <f t="shared" si="12"/>
        <v>800</v>
      </c>
      <c r="J313" s="5" t="s">
        <v>30</v>
      </c>
      <c r="K313" s="11" t="str">
        <f t="shared" si="13"/>
        <v>janvier</v>
      </c>
      <c r="L313" s="11" t="str">
        <f t="shared" si="14"/>
        <v>Non</v>
      </c>
    </row>
    <row r="314" spans="1:12" x14ac:dyDescent="0.3">
      <c r="A314" s="5" t="s">
        <v>193</v>
      </c>
      <c r="B314" s="6">
        <v>46093</v>
      </c>
      <c r="C314" s="5" t="s">
        <v>26</v>
      </c>
      <c r="D314" s="5" t="s">
        <v>27</v>
      </c>
      <c r="E314" s="5" t="s">
        <v>70</v>
      </c>
      <c r="F314" s="5" t="s">
        <v>52</v>
      </c>
      <c r="G314" s="5">
        <v>2</v>
      </c>
      <c r="H314" s="7">
        <v>400</v>
      </c>
      <c r="I314" s="7">
        <f t="shared" si="12"/>
        <v>800</v>
      </c>
      <c r="J314" s="5" t="s">
        <v>30</v>
      </c>
      <c r="K314" s="11" t="str">
        <f t="shared" si="13"/>
        <v>mars</v>
      </c>
      <c r="L314" s="11" t="str">
        <f t="shared" si="14"/>
        <v>Non</v>
      </c>
    </row>
    <row r="315" spans="1:12" x14ac:dyDescent="0.3">
      <c r="A315" s="5" t="s">
        <v>311</v>
      </c>
      <c r="B315" s="6">
        <v>46147</v>
      </c>
      <c r="C315" s="5" t="s">
        <v>26</v>
      </c>
      <c r="D315" s="5" t="s">
        <v>27</v>
      </c>
      <c r="E315" s="5" t="s">
        <v>36</v>
      </c>
      <c r="F315" s="5" t="s">
        <v>29</v>
      </c>
      <c r="G315" s="5">
        <v>1</v>
      </c>
      <c r="H315" s="7">
        <v>800</v>
      </c>
      <c r="I315" s="7">
        <f t="shared" si="12"/>
        <v>800</v>
      </c>
      <c r="J315" s="5" t="s">
        <v>34</v>
      </c>
      <c r="K315" s="11" t="str">
        <f t="shared" si="13"/>
        <v>mai</v>
      </c>
      <c r="L315" s="11" t="str">
        <f t="shared" si="14"/>
        <v>Non</v>
      </c>
    </row>
    <row r="316" spans="1:12" x14ac:dyDescent="0.3">
      <c r="A316" s="5" t="s">
        <v>312</v>
      </c>
      <c r="B316" s="6">
        <v>46148</v>
      </c>
      <c r="C316" s="5" t="s">
        <v>26</v>
      </c>
      <c r="D316" s="5" t="s">
        <v>27</v>
      </c>
      <c r="E316" s="5" t="s">
        <v>36</v>
      </c>
      <c r="F316" s="5" t="s">
        <v>29</v>
      </c>
      <c r="G316" s="5">
        <v>1</v>
      </c>
      <c r="H316" s="7">
        <v>800</v>
      </c>
      <c r="I316" s="7">
        <f t="shared" si="12"/>
        <v>800</v>
      </c>
      <c r="J316" s="5" t="s">
        <v>34</v>
      </c>
      <c r="K316" s="11" t="str">
        <f t="shared" si="13"/>
        <v>mai</v>
      </c>
      <c r="L316" s="11" t="str">
        <f t="shared" si="14"/>
        <v>Non</v>
      </c>
    </row>
    <row r="317" spans="1:12" x14ac:dyDescent="0.3">
      <c r="A317" s="5" t="s">
        <v>313</v>
      </c>
      <c r="B317" s="6">
        <v>46150</v>
      </c>
      <c r="C317" s="5" t="s">
        <v>44</v>
      </c>
      <c r="D317" s="5" t="s">
        <v>62</v>
      </c>
      <c r="E317" s="5" t="s">
        <v>36</v>
      </c>
      <c r="F317" s="5" t="s">
        <v>29</v>
      </c>
      <c r="G317" s="5">
        <v>1</v>
      </c>
      <c r="H317" s="7">
        <v>800</v>
      </c>
      <c r="I317" s="7">
        <f t="shared" si="12"/>
        <v>800</v>
      </c>
      <c r="J317" s="5" t="s">
        <v>34</v>
      </c>
      <c r="K317" s="11" t="str">
        <f t="shared" si="13"/>
        <v>mai</v>
      </c>
      <c r="L317" s="11" t="str">
        <f t="shared" si="14"/>
        <v>Non</v>
      </c>
    </row>
    <row r="318" spans="1:12" x14ac:dyDescent="0.3">
      <c r="A318" s="5" t="s">
        <v>317</v>
      </c>
      <c r="B318" s="6">
        <v>46152</v>
      </c>
      <c r="C318" s="5" t="s">
        <v>20</v>
      </c>
      <c r="D318" s="5" t="s">
        <v>32</v>
      </c>
      <c r="E318" s="5" t="s">
        <v>28</v>
      </c>
      <c r="F318" s="5" t="s">
        <v>29</v>
      </c>
      <c r="G318" s="5">
        <v>2</v>
      </c>
      <c r="H318" s="7">
        <v>400</v>
      </c>
      <c r="I318" s="7">
        <f t="shared" si="12"/>
        <v>800</v>
      </c>
      <c r="J318" s="5" t="s">
        <v>30</v>
      </c>
      <c r="K318" s="11" t="str">
        <f t="shared" si="13"/>
        <v>mai</v>
      </c>
      <c r="L318" s="11" t="str">
        <f t="shared" si="14"/>
        <v>Non</v>
      </c>
    </row>
    <row r="319" spans="1:12" x14ac:dyDescent="0.3">
      <c r="A319" s="5" t="s">
        <v>323</v>
      </c>
      <c r="B319" s="6">
        <v>46155</v>
      </c>
      <c r="C319" s="5" t="s">
        <v>26</v>
      </c>
      <c r="D319" s="5" t="s">
        <v>38</v>
      </c>
      <c r="E319" s="5" t="s">
        <v>36</v>
      </c>
      <c r="F319" s="5" t="s">
        <v>29</v>
      </c>
      <c r="G319" s="5">
        <v>1</v>
      </c>
      <c r="H319" s="7">
        <v>800</v>
      </c>
      <c r="I319" s="7">
        <f t="shared" si="12"/>
        <v>800</v>
      </c>
      <c r="J319" s="5" t="s">
        <v>34</v>
      </c>
      <c r="K319" s="11" t="str">
        <f t="shared" si="13"/>
        <v>mai</v>
      </c>
      <c r="L319" s="11" t="str">
        <f t="shared" si="14"/>
        <v>Non</v>
      </c>
    </row>
    <row r="320" spans="1:12" x14ac:dyDescent="0.3">
      <c r="A320" s="5" t="s">
        <v>337</v>
      </c>
      <c r="B320" s="6">
        <v>46163</v>
      </c>
      <c r="C320" s="5" t="s">
        <v>26</v>
      </c>
      <c r="D320" s="5" t="s">
        <v>38</v>
      </c>
      <c r="E320" s="5" t="s">
        <v>28</v>
      </c>
      <c r="F320" s="5" t="s">
        <v>29</v>
      </c>
      <c r="G320" s="5">
        <v>2</v>
      </c>
      <c r="H320" s="7">
        <v>400</v>
      </c>
      <c r="I320" s="7">
        <f t="shared" si="12"/>
        <v>800</v>
      </c>
      <c r="J320" s="5" t="s">
        <v>34</v>
      </c>
      <c r="K320" s="11" t="str">
        <f t="shared" si="13"/>
        <v>mai</v>
      </c>
      <c r="L320" s="11" t="str">
        <f t="shared" si="14"/>
        <v>Non</v>
      </c>
    </row>
    <row r="321" spans="1:12" x14ac:dyDescent="0.3">
      <c r="A321" s="5" t="s">
        <v>341</v>
      </c>
      <c r="B321" s="6">
        <v>46163</v>
      </c>
      <c r="C321" s="5" t="s">
        <v>20</v>
      </c>
      <c r="D321" s="5" t="s">
        <v>32</v>
      </c>
      <c r="E321" s="5" t="s">
        <v>36</v>
      </c>
      <c r="F321" s="5" t="s">
        <v>29</v>
      </c>
      <c r="G321" s="5">
        <v>1</v>
      </c>
      <c r="H321" s="7">
        <v>800</v>
      </c>
      <c r="I321" s="7">
        <f t="shared" si="12"/>
        <v>800</v>
      </c>
      <c r="J321" s="5" t="s">
        <v>34</v>
      </c>
      <c r="K321" s="11" t="str">
        <f t="shared" si="13"/>
        <v>mai</v>
      </c>
      <c r="L321" s="11" t="str">
        <f t="shared" si="14"/>
        <v>Non</v>
      </c>
    </row>
    <row r="322" spans="1:12" x14ac:dyDescent="0.3">
      <c r="A322" s="5" t="s">
        <v>385</v>
      </c>
      <c r="B322" s="6">
        <v>46181</v>
      </c>
      <c r="C322" s="5" t="s">
        <v>26</v>
      </c>
      <c r="D322" s="5" t="s">
        <v>38</v>
      </c>
      <c r="E322" s="5" t="s">
        <v>36</v>
      </c>
      <c r="F322" s="5" t="s">
        <v>29</v>
      </c>
      <c r="G322" s="5">
        <v>1</v>
      </c>
      <c r="H322" s="7">
        <v>800</v>
      </c>
      <c r="I322" s="7">
        <f t="shared" ref="I322:I385" si="15">G322*H322</f>
        <v>800</v>
      </c>
      <c r="J322" s="5" t="s">
        <v>34</v>
      </c>
      <c r="K322" s="11" t="str">
        <f t="shared" si="13"/>
        <v>juin</v>
      </c>
      <c r="L322" s="11" t="str">
        <f t="shared" si="14"/>
        <v>Non</v>
      </c>
    </row>
    <row r="323" spans="1:12" x14ac:dyDescent="0.3">
      <c r="A323" s="5" t="s">
        <v>409</v>
      </c>
      <c r="B323" s="6">
        <v>46189</v>
      </c>
      <c r="C323" s="5" t="s">
        <v>20</v>
      </c>
      <c r="D323" s="5" t="s">
        <v>32</v>
      </c>
      <c r="E323" s="5" t="s">
        <v>36</v>
      </c>
      <c r="F323" s="5" t="s">
        <v>29</v>
      </c>
      <c r="G323" s="5">
        <v>1</v>
      </c>
      <c r="H323" s="7">
        <v>800</v>
      </c>
      <c r="I323" s="7">
        <f t="shared" si="15"/>
        <v>800</v>
      </c>
      <c r="J323" s="5" t="s">
        <v>34</v>
      </c>
      <c r="K323" s="11" t="str">
        <f t="shared" ref="K323:K386" si="16">TEXT(B323,"mmmm")</f>
        <v>juin</v>
      </c>
      <c r="L323" s="11" t="str">
        <f t="shared" ref="L323:L386" si="17">IF(I323&gt;5000,"Oui","Non")</f>
        <v>Non</v>
      </c>
    </row>
    <row r="324" spans="1:12" x14ac:dyDescent="0.3">
      <c r="A324" s="5" t="s">
        <v>429</v>
      </c>
      <c r="B324" s="6">
        <v>46196</v>
      </c>
      <c r="C324" s="5" t="s">
        <v>44</v>
      </c>
      <c r="D324" s="5" t="s">
        <v>62</v>
      </c>
      <c r="E324" s="5" t="s">
        <v>70</v>
      </c>
      <c r="F324" s="5" t="s">
        <v>52</v>
      </c>
      <c r="G324" s="5">
        <v>2</v>
      </c>
      <c r="H324" s="7">
        <v>400</v>
      </c>
      <c r="I324" s="7">
        <f t="shared" si="15"/>
        <v>800</v>
      </c>
      <c r="J324" s="5" t="s">
        <v>34</v>
      </c>
      <c r="K324" s="11" t="str">
        <f t="shared" si="16"/>
        <v>juin</v>
      </c>
      <c r="L324" s="11" t="str">
        <f t="shared" si="17"/>
        <v>Non</v>
      </c>
    </row>
    <row r="325" spans="1:12" x14ac:dyDescent="0.3">
      <c r="A325" s="5" t="s">
        <v>431</v>
      </c>
      <c r="B325" s="6">
        <v>46197</v>
      </c>
      <c r="C325" s="5" t="s">
        <v>26</v>
      </c>
      <c r="D325" s="5" t="s">
        <v>27</v>
      </c>
      <c r="E325" s="5" t="s">
        <v>36</v>
      </c>
      <c r="F325" s="5" t="s">
        <v>29</v>
      </c>
      <c r="G325" s="5">
        <v>1</v>
      </c>
      <c r="H325" s="7">
        <v>800</v>
      </c>
      <c r="I325" s="7">
        <f t="shared" si="15"/>
        <v>800</v>
      </c>
      <c r="J325" s="5" t="s">
        <v>30</v>
      </c>
      <c r="K325" s="11" t="str">
        <f t="shared" si="16"/>
        <v>juin</v>
      </c>
      <c r="L325" s="11" t="str">
        <f t="shared" si="17"/>
        <v>Non</v>
      </c>
    </row>
    <row r="326" spans="1:12" x14ac:dyDescent="0.3">
      <c r="A326" s="5" t="s">
        <v>71</v>
      </c>
      <c r="B326" s="6">
        <v>46037</v>
      </c>
      <c r="C326" s="5" t="s">
        <v>26</v>
      </c>
      <c r="D326" s="5" t="s">
        <v>27</v>
      </c>
      <c r="E326" s="5" t="s">
        <v>22</v>
      </c>
      <c r="F326" s="5" t="s">
        <v>23</v>
      </c>
      <c r="G326" s="5">
        <v>3</v>
      </c>
      <c r="H326" s="7">
        <v>250</v>
      </c>
      <c r="I326" s="7">
        <f t="shared" si="15"/>
        <v>750</v>
      </c>
      <c r="J326" s="5" t="s">
        <v>34</v>
      </c>
      <c r="K326" s="11" t="str">
        <f t="shared" si="16"/>
        <v>janvier</v>
      </c>
      <c r="L326" s="11" t="str">
        <f t="shared" si="17"/>
        <v>Non</v>
      </c>
    </row>
    <row r="327" spans="1:12" x14ac:dyDescent="0.3">
      <c r="A327" s="5" t="s">
        <v>108</v>
      </c>
      <c r="B327" s="6">
        <v>46052</v>
      </c>
      <c r="C327" s="5" t="s">
        <v>44</v>
      </c>
      <c r="D327" s="5" t="s">
        <v>62</v>
      </c>
      <c r="E327" s="5" t="s">
        <v>22</v>
      </c>
      <c r="F327" s="5" t="s">
        <v>23</v>
      </c>
      <c r="G327" s="5">
        <v>3</v>
      </c>
      <c r="H327" s="7">
        <v>250</v>
      </c>
      <c r="I327" s="7">
        <f t="shared" si="15"/>
        <v>750</v>
      </c>
      <c r="J327" s="5" t="s">
        <v>34</v>
      </c>
      <c r="K327" s="11" t="str">
        <f t="shared" si="16"/>
        <v>janvier</v>
      </c>
      <c r="L327" s="11" t="str">
        <f t="shared" si="17"/>
        <v>Non</v>
      </c>
    </row>
    <row r="328" spans="1:12" x14ac:dyDescent="0.3">
      <c r="A328" s="5" t="s">
        <v>226</v>
      </c>
      <c r="B328" s="6">
        <v>46111</v>
      </c>
      <c r="C328" s="5" t="s">
        <v>20</v>
      </c>
      <c r="D328" s="5" t="s">
        <v>32</v>
      </c>
      <c r="E328" s="5" t="s">
        <v>22</v>
      </c>
      <c r="F328" s="5" t="s">
        <v>23</v>
      </c>
      <c r="G328" s="5">
        <v>3</v>
      </c>
      <c r="H328" s="7">
        <v>250</v>
      </c>
      <c r="I328" s="7">
        <f t="shared" si="15"/>
        <v>750</v>
      </c>
      <c r="J328" s="5" t="s">
        <v>34</v>
      </c>
      <c r="K328" s="11" t="str">
        <f t="shared" si="16"/>
        <v>mars</v>
      </c>
      <c r="L328" s="11" t="str">
        <f t="shared" si="17"/>
        <v>Non</v>
      </c>
    </row>
    <row r="329" spans="1:12" x14ac:dyDescent="0.3">
      <c r="A329" s="5" t="s">
        <v>372</v>
      </c>
      <c r="B329" s="6">
        <v>46175</v>
      </c>
      <c r="C329" s="5" t="s">
        <v>26</v>
      </c>
      <c r="D329" s="5" t="s">
        <v>27</v>
      </c>
      <c r="E329" s="5" t="s">
        <v>22</v>
      </c>
      <c r="F329" s="5" t="s">
        <v>23</v>
      </c>
      <c r="G329" s="5">
        <v>3</v>
      </c>
      <c r="H329" s="7">
        <v>250</v>
      </c>
      <c r="I329" s="7">
        <f t="shared" si="15"/>
        <v>750</v>
      </c>
      <c r="J329" s="5" t="s">
        <v>34</v>
      </c>
      <c r="K329" s="11" t="str">
        <f t="shared" si="16"/>
        <v>juin</v>
      </c>
      <c r="L329" s="11" t="str">
        <f t="shared" si="17"/>
        <v>Non</v>
      </c>
    </row>
    <row r="330" spans="1:12" x14ac:dyDescent="0.3">
      <c r="A330" s="5" t="s">
        <v>446</v>
      </c>
      <c r="B330" s="6">
        <v>46202</v>
      </c>
      <c r="C330" s="5" t="s">
        <v>44</v>
      </c>
      <c r="D330" s="5" t="s">
        <v>45</v>
      </c>
      <c r="E330" s="5" t="s">
        <v>22</v>
      </c>
      <c r="F330" s="5" t="s">
        <v>23</v>
      </c>
      <c r="G330" s="5">
        <v>3</v>
      </c>
      <c r="H330" s="7">
        <v>250</v>
      </c>
      <c r="I330" s="7">
        <f t="shared" si="15"/>
        <v>750</v>
      </c>
      <c r="J330" s="5" t="s">
        <v>34</v>
      </c>
      <c r="K330" s="11" t="str">
        <f t="shared" si="16"/>
        <v>juin</v>
      </c>
      <c r="L330" s="11" t="str">
        <f t="shared" si="17"/>
        <v>Non</v>
      </c>
    </row>
    <row r="331" spans="1:12" x14ac:dyDescent="0.3">
      <c r="A331" s="5" t="s">
        <v>67</v>
      </c>
      <c r="B331" s="6">
        <v>46036</v>
      </c>
      <c r="C331" s="5" t="s">
        <v>20</v>
      </c>
      <c r="D331" s="5" t="s">
        <v>32</v>
      </c>
      <c r="E331" s="5" t="s">
        <v>54</v>
      </c>
      <c r="F331" s="5" t="s">
        <v>47</v>
      </c>
      <c r="G331" s="5">
        <v>1</v>
      </c>
      <c r="H331" s="7">
        <v>700</v>
      </c>
      <c r="I331" s="7">
        <f t="shared" si="15"/>
        <v>700</v>
      </c>
      <c r="J331" s="5" t="s">
        <v>30</v>
      </c>
      <c r="K331" s="11" t="str">
        <f t="shared" si="16"/>
        <v>janvier</v>
      </c>
      <c r="L331" s="11" t="str">
        <f t="shared" si="17"/>
        <v>Non</v>
      </c>
    </row>
    <row r="332" spans="1:12" x14ac:dyDescent="0.3">
      <c r="A332" s="5" t="s">
        <v>186</v>
      </c>
      <c r="B332" s="6">
        <v>46090</v>
      </c>
      <c r="C332" s="5" t="s">
        <v>20</v>
      </c>
      <c r="D332" s="5" t="s">
        <v>21</v>
      </c>
      <c r="E332" s="5" t="s">
        <v>54</v>
      </c>
      <c r="F332" s="5" t="s">
        <v>47</v>
      </c>
      <c r="G332" s="5">
        <v>1</v>
      </c>
      <c r="H332" s="7">
        <v>700</v>
      </c>
      <c r="I332" s="7">
        <f t="shared" si="15"/>
        <v>700</v>
      </c>
      <c r="J332" s="5" t="s">
        <v>24</v>
      </c>
      <c r="K332" s="11" t="str">
        <f t="shared" si="16"/>
        <v>mars</v>
      </c>
      <c r="L332" s="11" t="str">
        <f t="shared" si="17"/>
        <v>Non</v>
      </c>
    </row>
    <row r="333" spans="1:12" x14ac:dyDescent="0.3">
      <c r="A333" s="5" t="s">
        <v>199</v>
      </c>
      <c r="B333" s="6">
        <v>46096</v>
      </c>
      <c r="C333" s="5" t="s">
        <v>20</v>
      </c>
      <c r="D333" s="5" t="s">
        <v>21</v>
      </c>
      <c r="E333" s="5" t="s">
        <v>54</v>
      </c>
      <c r="F333" s="5" t="s">
        <v>47</v>
      </c>
      <c r="G333" s="5">
        <v>1</v>
      </c>
      <c r="H333" s="7">
        <v>700</v>
      </c>
      <c r="I333" s="7">
        <f t="shared" si="15"/>
        <v>700</v>
      </c>
      <c r="J333" s="5" t="s">
        <v>24</v>
      </c>
      <c r="K333" s="11" t="str">
        <f t="shared" si="16"/>
        <v>mars</v>
      </c>
      <c r="L333" s="11" t="str">
        <f t="shared" si="17"/>
        <v>Non</v>
      </c>
    </row>
    <row r="334" spans="1:12" x14ac:dyDescent="0.3">
      <c r="A334" s="5" t="s">
        <v>260</v>
      </c>
      <c r="B334" s="6">
        <v>46128</v>
      </c>
      <c r="C334" s="5" t="s">
        <v>20</v>
      </c>
      <c r="D334" s="5" t="s">
        <v>32</v>
      </c>
      <c r="E334" s="5" t="s">
        <v>54</v>
      </c>
      <c r="F334" s="5" t="s">
        <v>47</v>
      </c>
      <c r="G334" s="5">
        <v>1</v>
      </c>
      <c r="H334" s="7">
        <v>700</v>
      </c>
      <c r="I334" s="7">
        <f t="shared" si="15"/>
        <v>700</v>
      </c>
      <c r="J334" s="5" t="s">
        <v>34</v>
      </c>
      <c r="K334" s="11" t="str">
        <f t="shared" si="16"/>
        <v>avril</v>
      </c>
      <c r="L334" s="11" t="str">
        <f t="shared" si="17"/>
        <v>Non</v>
      </c>
    </row>
    <row r="335" spans="1:12" x14ac:dyDescent="0.3">
      <c r="A335" s="5" t="s">
        <v>305</v>
      </c>
      <c r="B335" s="6">
        <v>46145</v>
      </c>
      <c r="C335" s="5" t="s">
        <v>20</v>
      </c>
      <c r="D335" s="5" t="s">
        <v>21</v>
      </c>
      <c r="E335" s="5" t="s">
        <v>54</v>
      </c>
      <c r="F335" s="5" t="s">
        <v>47</v>
      </c>
      <c r="G335" s="5">
        <v>1</v>
      </c>
      <c r="H335" s="7">
        <v>700</v>
      </c>
      <c r="I335" s="7">
        <f t="shared" si="15"/>
        <v>700</v>
      </c>
      <c r="J335" s="5" t="s">
        <v>34</v>
      </c>
      <c r="K335" s="11" t="str">
        <f t="shared" si="16"/>
        <v>mai</v>
      </c>
      <c r="L335" s="11" t="str">
        <f t="shared" si="17"/>
        <v>Non</v>
      </c>
    </row>
    <row r="336" spans="1:12" x14ac:dyDescent="0.3">
      <c r="A336" s="5" t="s">
        <v>346</v>
      </c>
      <c r="B336" s="6">
        <v>46165</v>
      </c>
      <c r="C336" s="5" t="s">
        <v>26</v>
      </c>
      <c r="D336" s="5" t="s">
        <v>38</v>
      </c>
      <c r="E336" s="5" t="s">
        <v>54</v>
      </c>
      <c r="F336" s="5" t="s">
        <v>47</v>
      </c>
      <c r="G336" s="5">
        <v>1</v>
      </c>
      <c r="H336" s="7">
        <v>700</v>
      </c>
      <c r="I336" s="7">
        <f t="shared" si="15"/>
        <v>700</v>
      </c>
      <c r="J336" s="5" t="s">
        <v>34</v>
      </c>
      <c r="K336" s="11" t="str">
        <f t="shared" si="16"/>
        <v>mai</v>
      </c>
      <c r="L336" s="11" t="str">
        <f t="shared" si="17"/>
        <v>Non</v>
      </c>
    </row>
    <row r="337" spans="1:12" x14ac:dyDescent="0.3">
      <c r="A337" s="5" t="s">
        <v>349</v>
      </c>
      <c r="B337" s="6">
        <v>46166</v>
      </c>
      <c r="C337" s="5" t="s">
        <v>20</v>
      </c>
      <c r="D337" s="5" t="s">
        <v>32</v>
      </c>
      <c r="E337" s="5" t="s">
        <v>54</v>
      </c>
      <c r="F337" s="5" t="s">
        <v>47</v>
      </c>
      <c r="G337" s="5">
        <v>1</v>
      </c>
      <c r="H337" s="7">
        <v>700</v>
      </c>
      <c r="I337" s="7">
        <f t="shared" si="15"/>
        <v>700</v>
      </c>
      <c r="J337" s="5" t="s">
        <v>30</v>
      </c>
      <c r="K337" s="11" t="str">
        <f t="shared" si="16"/>
        <v>mai</v>
      </c>
      <c r="L337" s="11" t="str">
        <f t="shared" si="17"/>
        <v>Non</v>
      </c>
    </row>
    <row r="338" spans="1:12" x14ac:dyDescent="0.3">
      <c r="A338" s="5" t="s">
        <v>356</v>
      </c>
      <c r="B338" s="6">
        <v>46169</v>
      </c>
      <c r="C338" s="5" t="s">
        <v>20</v>
      </c>
      <c r="D338" s="5" t="s">
        <v>32</v>
      </c>
      <c r="E338" s="5" t="s">
        <v>54</v>
      </c>
      <c r="F338" s="5" t="s">
        <v>47</v>
      </c>
      <c r="G338" s="5">
        <v>1</v>
      </c>
      <c r="H338" s="7">
        <v>700</v>
      </c>
      <c r="I338" s="7">
        <f t="shared" si="15"/>
        <v>700</v>
      </c>
      <c r="J338" s="5" t="s">
        <v>34</v>
      </c>
      <c r="K338" s="11" t="str">
        <f t="shared" si="16"/>
        <v>mai</v>
      </c>
      <c r="L338" s="11" t="str">
        <f t="shared" si="17"/>
        <v>Non</v>
      </c>
    </row>
    <row r="339" spans="1:12" x14ac:dyDescent="0.3">
      <c r="A339" s="5" t="s">
        <v>422</v>
      </c>
      <c r="B339" s="6">
        <v>46193</v>
      </c>
      <c r="C339" s="5" t="s">
        <v>20</v>
      </c>
      <c r="D339" s="5" t="s">
        <v>21</v>
      </c>
      <c r="E339" s="5" t="s">
        <v>54</v>
      </c>
      <c r="F339" s="5" t="s">
        <v>47</v>
      </c>
      <c r="G339" s="5">
        <v>1</v>
      </c>
      <c r="H339" s="7">
        <v>700</v>
      </c>
      <c r="I339" s="7">
        <f t="shared" si="15"/>
        <v>700</v>
      </c>
      <c r="J339" s="5" t="s">
        <v>30</v>
      </c>
      <c r="K339" s="11" t="str">
        <f t="shared" si="16"/>
        <v>juin</v>
      </c>
      <c r="L339" s="11" t="str">
        <f t="shared" si="17"/>
        <v>Non</v>
      </c>
    </row>
    <row r="340" spans="1:12" x14ac:dyDescent="0.3">
      <c r="A340" s="5" t="s">
        <v>428</v>
      </c>
      <c r="B340" s="6">
        <v>46196</v>
      </c>
      <c r="C340" s="5" t="s">
        <v>44</v>
      </c>
      <c r="D340" s="5" t="s">
        <v>45</v>
      </c>
      <c r="E340" s="5" t="s">
        <v>54</v>
      </c>
      <c r="F340" s="5" t="s">
        <v>47</v>
      </c>
      <c r="G340" s="5">
        <v>1</v>
      </c>
      <c r="H340" s="7">
        <v>700</v>
      </c>
      <c r="I340" s="7">
        <f t="shared" si="15"/>
        <v>700</v>
      </c>
      <c r="J340" s="5" t="s">
        <v>24</v>
      </c>
      <c r="K340" s="11" t="str">
        <f t="shared" si="16"/>
        <v>juin</v>
      </c>
      <c r="L340" s="11" t="str">
        <f t="shared" si="17"/>
        <v>Non</v>
      </c>
    </row>
    <row r="341" spans="1:12" x14ac:dyDescent="0.3">
      <c r="A341" s="5" t="s">
        <v>43</v>
      </c>
      <c r="B341" s="6">
        <v>46028</v>
      </c>
      <c r="C341" s="5" t="s">
        <v>44</v>
      </c>
      <c r="D341" s="5" t="s">
        <v>45</v>
      </c>
      <c r="E341" s="5" t="s">
        <v>46</v>
      </c>
      <c r="F341" s="5" t="s">
        <v>47</v>
      </c>
      <c r="G341" s="5">
        <v>2</v>
      </c>
      <c r="H341" s="7">
        <v>300</v>
      </c>
      <c r="I341" s="7">
        <f t="shared" si="15"/>
        <v>600</v>
      </c>
      <c r="J341" s="5" t="s">
        <v>34</v>
      </c>
      <c r="K341" s="11" t="str">
        <f t="shared" si="16"/>
        <v>janvier</v>
      </c>
      <c r="L341" s="11" t="str">
        <f t="shared" si="17"/>
        <v>Non</v>
      </c>
    </row>
    <row r="342" spans="1:12" x14ac:dyDescent="0.3">
      <c r="A342" s="5" t="s">
        <v>149</v>
      </c>
      <c r="B342" s="6">
        <v>46067</v>
      </c>
      <c r="C342" s="5" t="s">
        <v>20</v>
      </c>
      <c r="D342" s="5" t="s">
        <v>32</v>
      </c>
      <c r="E342" s="5" t="s">
        <v>33</v>
      </c>
      <c r="F342" s="5" t="s">
        <v>23</v>
      </c>
      <c r="G342" s="5">
        <v>1</v>
      </c>
      <c r="H342" s="7">
        <v>600</v>
      </c>
      <c r="I342" s="7">
        <f t="shared" si="15"/>
        <v>600</v>
      </c>
      <c r="J342" s="5" t="s">
        <v>24</v>
      </c>
      <c r="K342" s="11" t="str">
        <f t="shared" si="16"/>
        <v>février</v>
      </c>
      <c r="L342" s="11" t="str">
        <f t="shared" si="17"/>
        <v>Non</v>
      </c>
    </row>
    <row r="343" spans="1:12" x14ac:dyDescent="0.3">
      <c r="A343" s="5" t="s">
        <v>170</v>
      </c>
      <c r="B343" s="6">
        <v>46079</v>
      </c>
      <c r="C343" s="5" t="s">
        <v>20</v>
      </c>
      <c r="D343" s="5" t="s">
        <v>21</v>
      </c>
      <c r="E343" s="5" t="s">
        <v>33</v>
      </c>
      <c r="F343" s="5" t="s">
        <v>23</v>
      </c>
      <c r="G343" s="5">
        <v>1</v>
      </c>
      <c r="H343" s="7">
        <v>600</v>
      </c>
      <c r="I343" s="7">
        <f t="shared" si="15"/>
        <v>600</v>
      </c>
      <c r="J343" s="5" t="s">
        <v>34</v>
      </c>
      <c r="K343" s="11" t="str">
        <f t="shared" si="16"/>
        <v>février</v>
      </c>
      <c r="L343" s="11" t="str">
        <f t="shared" si="17"/>
        <v>Non</v>
      </c>
    </row>
    <row r="344" spans="1:12" x14ac:dyDescent="0.3">
      <c r="A344" s="5" t="s">
        <v>183</v>
      </c>
      <c r="B344" s="6">
        <v>46090</v>
      </c>
      <c r="C344" s="5" t="s">
        <v>26</v>
      </c>
      <c r="D344" s="5" t="s">
        <v>38</v>
      </c>
      <c r="E344" s="5" t="s">
        <v>33</v>
      </c>
      <c r="F344" s="5" t="s">
        <v>23</v>
      </c>
      <c r="G344" s="5">
        <v>1</v>
      </c>
      <c r="H344" s="7">
        <v>600</v>
      </c>
      <c r="I344" s="7">
        <f t="shared" si="15"/>
        <v>600</v>
      </c>
      <c r="J344" s="5" t="s">
        <v>24</v>
      </c>
      <c r="K344" s="11" t="str">
        <f t="shared" si="16"/>
        <v>mars</v>
      </c>
      <c r="L344" s="11" t="str">
        <f t="shared" si="17"/>
        <v>Non</v>
      </c>
    </row>
    <row r="345" spans="1:12" x14ac:dyDescent="0.3">
      <c r="A345" s="5" t="s">
        <v>202</v>
      </c>
      <c r="B345" s="6">
        <v>46099</v>
      </c>
      <c r="C345" s="5" t="s">
        <v>20</v>
      </c>
      <c r="D345" s="5" t="s">
        <v>21</v>
      </c>
      <c r="E345" s="5" t="s">
        <v>33</v>
      </c>
      <c r="F345" s="5" t="s">
        <v>23</v>
      </c>
      <c r="G345" s="5">
        <v>1</v>
      </c>
      <c r="H345" s="7">
        <v>600</v>
      </c>
      <c r="I345" s="7">
        <f t="shared" si="15"/>
        <v>600</v>
      </c>
      <c r="J345" s="5" t="s">
        <v>34</v>
      </c>
      <c r="K345" s="11" t="str">
        <f t="shared" si="16"/>
        <v>mars</v>
      </c>
      <c r="L345" s="11" t="str">
        <f t="shared" si="17"/>
        <v>Non</v>
      </c>
    </row>
    <row r="346" spans="1:12" x14ac:dyDescent="0.3">
      <c r="A346" s="5" t="s">
        <v>244</v>
      </c>
      <c r="B346" s="6">
        <v>46120</v>
      </c>
      <c r="C346" s="5" t="s">
        <v>44</v>
      </c>
      <c r="D346" s="5" t="s">
        <v>62</v>
      </c>
      <c r="E346" s="5" t="s">
        <v>46</v>
      </c>
      <c r="F346" s="5" t="s">
        <v>47</v>
      </c>
      <c r="G346" s="5">
        <v>2</v>
      </c>
      <c r="H346" s="7">
        <v>300</v>
      </c>
      <c r="I346" s="7">
        <f t="shared" si="15"/>
        <v>600</v>
      </c>
      <c r="J346" s="5" t="s">
        <v>24</v>
      </c>
      <c r="K346" s="11" t="str">
        <f t="shared" si="16"/>
        <v>avril</v>
      </c>
      <c r="L346" s="11" t="str">
        <f t="shared" si="17"/>
        <v>Non</v>
      </c>
    </row>
    <row r="347" spans="1:12" x14ac:dyDescent="0.3">
      <c r="A347" s="5" t="s">
        <v>270</v>
      </c>
      <c r="B347" s="6">
        <v>46132</v>
      </c>
      <c r="C347" s="5" t="s">
        <v>44</v>
      </c>
      <c r="D347" s="5" t="s">
        <v>45</v>
      </c>
      <c r="E347" s="5" t="s">
        <v>46</v>
      </c>
      <c r="F347" s="5" t="s">
        <v>47</v>
      </c>
      <c r="G347" s="5">
        <v>2</v>
      </c>
      <c r="H347" s="7">
        <v>300</v>
      </c>
      <c r="I347" s="7">
        <f t="shared" si="15"/>
        <v>600</v>
      </c>
      <c r="J347" s="5" t="s">
        <v>34</v>
      </c>
      <c r="K347" s="11" t="str">
        <f t="shared" si="16"/>
        <v>avril</v>
      </c>
      <c r="L347" s="11" t="str">
        <f t="shared" si="17"/>
        <v>Non</v>
      </c>
    </row>
    <row r="348" spans="1:12" x14ac:dyDescent="0.3">
      <c r="A348" s="5" t="s">
        <v>316</v>
      </c>
      <c r="B348" s="6">
        <v>46152</v>
      </c>
      <c r="C348" s="5" t="s">
        <v>20</v>
      </c>
      <c r="D348" s="5" t="s">
        <v>21</v>
      </c>
      <c r="E348" s="5" t="s">
        <v>33</v>
      </c>
      <c r="F348" s="5" t="s">
        <v>23</v>
      </c>
      <c r="G348" s="5">
        <v>1</v>
      </c>
      <c r="H348" s="7">
        <v>600</v>
      </c>
      <c r="I348" s="7">
        <f t="shared" si="15"/>
        <v>600</v>
      </c>
      <c r="J348" s="5" t="s">
        <v>30</v>
      </c>
      <c r="K348" s="11" t="str">
        <f t="shared" si="16"/>
        <v>mai</v>
      </c>
      <c r="L348" s="11" t="str">
        <f t="shared" si="17"/>
        <v>Non</v>
      </c>
    </row>
    <row r="349" spans="1:12" x14ac:dyDescent="0.3">
      <c r="A349" s="5" t="s">
        <v>355</v>
      </c>
      <c r="B349" s="6">
        <v>46168</v>
      </c>
      <c r="C349" s="5" t="s">
        <v>44</v>
      </c>
      <c r="D349" s="5" t="s">
        <v>45</v>
      </c>
      <c r="E349" s="5" t="s">
        <v>33</v>
      </c>
      <c r="F349" s="5" t="s">
        <v>23</v>
      </c>
      <c r="G349" s="5">
        <v>1</v>
      </c>
      <c r="H349" s="7">
        <v>600</v>
      </c>
      <c r="I349" s="7">
        <f t="shared" si="15"/>
        <v>600</v>
      </c>
      <c r="J349" s="5" t="s">
        <v>34</v>
      </c>
      <c r="K349" s="11" t="str">
        <f t="shared" si="16"/>
        <v>mai</v>
      </c>
      <c r="L349" s="11" t="str">
        <f t="shared" si="17"/>
        <v>Non</v>
      </c>
    </row>
    <row r="350" spans="1:12" x14ac:dyDescent="0.3">
      <c r="A350" s="5" t="s">
        <v>389</v>
      </c>
      <c r="B350" s="6">
        <v>46183</v>
      </c>
      <c r="C350" s="5" t="s">
        <v>44</v>
      </c>
      <c r="D350" s="5" t="s">
        <v>62</v>
      </c>
      <c r="E350" s="5" t="s">
        <v>46</v>
      </c>
      <c r="F350" s="5" t="s">
        <v>47</v>
      </c>
      <c r="G350" s="5">
        <v>2</v>
      </c>
      <c r="H350" s="7">
        <v>300</v>
      </c>
      <c r="I350" s="7">
        <f t="shared" si="15"/>
        <v>600</v>
      </c>
      <c r="J350" s="5" t="s">
        <v>30</v>
      </c>
      <c r="K350" s="11" t="str">
        <f t="shared" si="16"/>
        <v>juin</v>
      </c>
      <c r="L350" s="11" t="str">
        <f t="shared" si="17"/>
        <v>Non</v>
      </c>
    </row>
    <row r="351" spans="1:12" x14ac:dyDescent="0.3">
      <c r="A351" s="5" t="s">
        <v>402</v>
      </c>
      <c r="B351" s="6">
        <v>46187</v>
      </c>
      <c r="C351" s="5" t="s">
        <v>44</v>
      </c>
      <c r="D351" s="5" t="s">
        <v>62</v>
      </c>
      <c r="E351" s="5" t="s">
        <v>33</v>
      </c>
      <c r="F351" s="5" t="s">
        <v>23</v>
      </c>
      <c r="G351" s="5">
        <v>1</v>
      </c>
      <c r="H351" s="7">
        <v>600</v>
      </c>
      <c r="I351" s="7">
        <f t="shared" si="15"/>
        <v>600</v>
      </c>
      <c r="J351" s="5" t="s">
        <v>24</v>
      </c>
      <c r="K351" s="11" t="str">
        <f t="shared" si="16"/>
        <v>juin</v>
      </c>
      <c r="L351" s="11" t="str">
        <f t="shared" si="17"/>
        <v>Non</v>
      </c>
    </row>
    <row r="352" spans="1:12" x14ac:dyDescent="0.3">
      <c r="A352" s="5" t="s">
        <v>411</v>
      </c>
      <c r="B352" s="6">
        <v>46190</v>
      </c>
      <c r="C352" s="5" t="s">
        <v>44</v>
      </c>
      <c r="D352" s="5" t="s">
        <v>45</v>
      </c>
      <c r="E352" s="5" t="s">
        <v>33</v>
      </c>
      <c r="F352" s="5" t="s">
        <v>23</v>
      </c>
      <c r="G352" s="5">
        <v>1</v>
      </c>
      <c r="H352" s="7">
        <v>600</v>
      </c>
      <c r="I352" s="7">
        <f t="shared" si="15"/>
        <v>600</v>
      </c>
      <c r="J352" s="5" t="s">
        <v>30</v>
      </c>
      <c r="K352" s="11" t="str">
        <f t="shared" si="16"/>
        <v>juin</v>
      </c>
      <c r="L352" s="11" t="str">
        <f t="shared" si="17"/>
        <v>Non</v>
      </c>
    </row>
    <row r="353" spans="1:12" x14ac:dyDescent="0.3">
      <c r="A353" s="5" t="s">
        <v>427</v>
      </c>
      <c r="B353" s="6">
        <v>46195</v>
      </c>
      <c r="C353" s="5" t="s">
        <v>26</v>
      </c>
      <c r="D353" s="5" t="s">
        <v>38</v>
      </c>
      <c r="E353" s="5" t="s">
        <v>46</v>
      </c>
      <c r="F353" s="5" t="s">
        <v>47</v>
      </c>
      <c r="G353" s="5">
        <v>2</v>
      </c>
      <c r="H353" s="7">
        <v>300</v>
      </c>
      <c r="I353" s="7">
        <f t="shared" si="15"/>
        <v>600</v>
      </c>
      <c r="J353" s="5" t="s">
        <v>30</v>
      </c>
      <c r="K353" s="11" t="str">
        <f t="shared" si="16"/>
        <v>juin</v>
      </c>
      <c r="L353" s="11" t="str">
        <f t="shared" si="17"/>
        <v>Non</v>
      </c>
    </row>
    <row r="354" spans="1:12" x14ac:dyDescent="0.3">
      <c r="A354" s="5" t="s">
        <v>60</v>
      </c>
      <c r="B354" s="6">
        <v>46034</v>
      </c>
      <c r="C354" s="5" t="s">
        <v>44</v>
      </c>
      <c r="D354" s="5" t="s">
        <v>45</v>
      </c>
      <c r="E354" s="5" t="s">
        <v>22</v>
      </c>
      <c r="F354" s="5" t="s">
        <v>23</v>
      </c>
      <c r="G354" s="5">
        <v>2</v>
      </c>
      <c r="H354" s="7">
        <v>250</v>
      </c>
      <c r="I354" s="7">
        <f t="shared" si="15"/>
        <v>500</v>
      </c>
      <c r="J354" s="5" t="s">
        <v>24</v>
      </c>
      <c r="K354" s="11" t="str">
        <f t="shared" si="16"/>
        <v>janvier</v>
      </c>
      <c r="L354" s="11" t="str">
        <f t="shared" si="17"/>
        <v>Non</v>
      </c>
    </row>
    <row r="355" spans="1:12" x14ac:dyDescent="0.3">
      <c r="A355" s="5" t="s">
        <v>120</v>
      </c>
      <c r="B355" s="6">
        <v>46056</v>
      </c>
      <c r="C355" s="5" t="s">
        <v>26</v>
      </c>
      <c r="D355" s="5" t="s">
        <v>38</v>
      </c>
      <c r="E355" s="5" t="s">
        <v>22</v>
      </c>
      <c r="F355" s="5" t="s">
        <v>23</v>
      </c>
      <c r="G355" s="5">
        <v>2</v>
      </c>
      <c r="H355" s="7">
        <v>250</v>
      </c>
      <c r="I355" s="7">
        <f t="shared" si="15"/>
        <v>500</v>
      </c>
      <c r="J355" s="5" t="s">
        <v>34</v>
      </c>
      <c r="K355" s="11" t="str">
        <f t="shared" si="16"/>
        <v>février</v>
      </c>
      <c r="L355" s="11" t="str">
        <f t="shared" si="17"/>
        <v>Non</v>
      </c>
    </row>
    <row r="356" spans="1:12" x14ac:dyDescent="0.3">
      <c r="A356" s="5" t="s">
        <v>210</v>
      </c>
      <c r="B356" s="6">
        <v>46103</v>
      </c>
      <c r="C356" s="5" t="s">
        <v>26</v>
      </c>
      <c r="D356" s="5" t="s">
        <v>38</v>
      </c>
      <c r="E356" s="5" t="s">
        <v>51</v>
      </c>
      <c r="F356" s="5" t="s">
        <v>52</v>
      </c>
      <c r="G356" s="5">
        <v>1</v>
      </c>
      <c r="H356" s="7">
        <v>500</v>
      </c>
      <c r="I356" s="7">
        <f t="shared" si="15"/>
        <v>500</v>
      </c>
      <c r="J356" s="5" t="s">
        <v>30</v>
      </c>
      <c r="K356" s="11" t="str">
        <f t="shared" si="16"/>
        <v>mars</v>
      </c>
      <c r="L356" s="11" t="str">
        <f t="shared" si="17"/>
        <v>Non</v>
      </c>
    </row>
    <row r="357" spans="1:12" x14ac:dyDescent="0.3">
      <c r="A357" s="5" t="s">
        <v>220</v>
      </c>
      <c r="B357" s="6">
        <v>46109</v>
      </c>
      <c r="C357" s="5" t="s">
        <v>26</v>
      </c>
      <c r="D357" s="5" t="s">
        <v>27</v>
      </c>
      <c r="E357" s="5" t="s">
        <v>51</v>
      </c>
      <c r="F357" s="5" t="s">
        <v>52</v>
      </c>
      <c r="G357" s="5">
        <v>1</v>
      </c>
      <c r="H357" s="7">
        <v>500</v>
      </c>
      <c r="I357" s="7">
        <f t="shared" si="15"/>
        <v>500</v>
      </c>
      <c r="J357" s="5" t="s">
        <v>34</v>
      </c>
      <c r="K357" s="11" t="str">
        <f t="shared" si="16"/>
        <v>mars</v>
      </c>
      <c r="L357" s="11" t="str">
        <f t="shared" si="17"/>
        <v>Non</v>
      </c>
    </row>
    <row r="358" spans="1:12" x14ac:dyDescent="0.3">
      <c r="A358" s="5" t="s">
        <v>256</v>
      </c>
      <c r="B358" s="6">
        <v>46126</v>
      </c>
      <c r="C358" s="5" t="s">
        <v>20</v>
      </c>
      <c r="D358" s="5" t="s">
        <v>32</v>
      </c>
      <c r="E358" s="5" t="s">
        <v>51</v>
      </c>
      <c r="F358" s="5" t="s">
        <v>52</v>
      </c>
      <c r="G358" s="5">
        <v>1</v>
      </c>
      <c r="H358" s="7">
        <v>500</v>
      </c>
      <c r="I358" s="7">
        <f t="shared" si="15"/>
        <v>500</v>
      </c>
      <c r="J358" s="5" t="s">
        <v>34</v>
      </c>
      <c r="K358" s="11" t="str">
        <f t="shared" si="16"/>
        <v>avril</v>
      </c>
      <c r="L358" s="11" t="str">
        <f t="shared" si="17"/>
        <v>Non</v>
      </c>
    </row>
    <row r="359" spans="1:12" x14ac:dyDescent="0.3">
      <c r="A359" s="5" t="s">
        <v>287</v>
      </c>
      <c r="B359" s="6">
        <v>46139</v>
      </c>
      <c r="C359" s="5" t="s">
        <v>26</v>
      </c>
      <c r="D359" s="5" t="s">
        <v>27</v>
      </c>
      <c r="E359" s="5" t="s">
        <v>51</v>
      </c>
      <c r="F359" s="5" t="s">
        <v>52</v>
      </c>
      <c r="G359" s="5">
        <v>1</v>
      </c>
      <c r="H359" s="7">
        <v>500</v>
      </c>
      <c r="I359" s="7">
        <f t="shared" si="15"/>
        <v>500</v>
      </c>
      <c r="J359" s="5" t="s">
        <v>34</v>
      </c>
      <c r="K359" s="11" t="str">
        <f t="shared" si="16"/>
        <v>avril</v>
      </c>
      <c r="L359" s="11" t="str">
        <f t="shared" si="17"/>
        <v>Non</v>
      </c>
    </row>
    <row r="360" spans="1:12" x14ac:dyDescent="0.3">
      <c r="A360" s="5" t="s">
        <v>304</v>
      </c>
      <c r="B360" s="6">
        <v>46144</v>
      </c>
      <c r="C360" s="5" t="s">
        <v>20</v>
      </c>
      <c r="D360" s="5" t="s">
        <v>21</v>
      </c>
      <c r="E360" s="5" t="s">
        <v>22</v>
      </c>
      <c r="F360" s="5" t="s">
        <v>23</v>
      </c>
      <c r="G360" s="5">
        <v>2</v>
      </c>
      <c r="H360" s="7">
        <v>250</v>
      </c>
      <c r="I360" s="7">
        <f t="shared" si="15"/>
        <v>500</v>
      </c>
      <c r="J360" s="5" t="s">
        <v>30</v>
      </c>
      <c r="K360" s="11" t="str">
        <f t="shared" si="16"/>
        <v>mai</v>
      </c>
      <c r="L360" s="11" t="str">
        <f t="shared" si="17"/>
        <v>Non</v>
      </c>
    </row>
    <row r="361" spans="1:12" x14ac:dyDescent="0.3">
      <c r="A361" s="5" t="s">
        <v>320</v>
      </c>
      <c r="B361" s="6">
        <v>46154</v>
      </c>
      <c r="C361" s="5" t="s">
        <v>26</v>
      </c>
      <c r="D361" s="5" t="s">
        <v>38</v>
      </c>
      <c r="E361" s="5" t="s">
        <v>51</v>
      </c>
      <c r="F361" s="5" t="s">
        <v>52</v>
      </c>
      <c r="G361" s="5">
        <v>1</v>
      </c>
      <c r="H361" s="7">
        <v>500</v>
      </c>
      <c r="I361" s="7">
        <f t="shared" si="15"/>
        <v>500</v>
      </c>
      <c r="J361" s="5" t="s">
        <v>34</v>
      </c>
      <c r="K361" s="11" t="str">
        <f t="shared" si="16"/>
        <v>mai</v>
      </c>
      <c r="L361" s="11" t="str">
        <f t="shared" si="17"/>
        <v>Non</v>
      </c>
    </row>
    <row r="362" spans="1:12" x14ac:dyDescent="0.3">
      <c r="A362" s="5" t="s">
        <v>358</v>
      </c>
      <c r="B362" s="6">
        <v>46170</v>
      </c>
      <c r="C362" s="5" t="s">
        <v>44</v>
      </c>
      <c r="D362" s="5" t="s">
        <v>45</v>
      </c>
      <c r="E362" s="5" t="s">
        <v>22</v>
      </c>
      <c r="F362" s="5" t="s">
        <v>23</v>
      </c>
      <c r="G362" s="5">
        <v>2</v>
      </c>
      <c r="H362" s="7">
        <v>250</v>
      </c>
      <c r="I362" s="7">
        <f t="shared" si="15"/>
        <v>500</v>
      </c>
      <c r="J362" s="5" t="s">
        <v>34</v>
      </c>
      <c r="K362" s="11" t="str">
        <f t="shared" si="16"/>
        <v>mai</v>
      </c>
      <c r="L362" s="11" t="str">
        <f t="shared" si="17"/>
        <v>Non</v>
      </c>
    </row>
    <row r="363" spans="1:12" x14ac:dyDescent="0.3">
      <c r="A363" s="5" t="s">
        <v>381</v>
      </c>
      <c r="B363" s="6">
        <v>46179</v>
      </c>
      <c r="C363" s="5" t="s">
        <v>44</v>
      </c>
      <c r="D363" s="5" t="s">
        <v>45</v>
      </c>
      <c r="E363" s="5" t="s">
        <v>22</v>
      </c>
      <c r="F363" s="5" t="s">
        <v>23</v>
      </c>
      <c r="G363" s="5">
        <v>2</v>
      </c>
      <c r="H363" s="7">
        <v>250</v>
      </c>
      <c r="I363" s="7">
        <f t="shared" si="15"/>
        <v>500</v>
      </c>
      <c r="J363" s="5" t="s">
        <v>30</v>
      </c>
      <c r="K363" s="11" t="str">
        <f t="shared" si="16"/>
        <v>juin</v>
      </c>
      <c r="L363" s="11" t="str">
        <f t="shared" si="17"/>
        <v>Non</v>
      </c>
    </row>
    <row r="364" spans="1:12" x14ac:dyDescent="0.3">
      <c r="A364" s="5" t="s">
        <v>391</v>
      </c>
      <c r="B364" s="6">
        <v>46183</v>
      </c>
      <c r="C364" s="5" t="s">
        <v>44</v>
      </c>
      <c r="D364" s="5" t="s">
        <v>45</v>
      </c>
      <c r="E364" s="5" t="s">
        <v>51</v>
      </c>
      <c r="F364" s="5" t="s">
        <v>52</v>
      </c>
      <c r="G364" s="5">
        <v>1</v>
      </c>
      <c r="H364" s="7">
        <v>500</v>
      </c>
      <c r="I364" s="7">
        <f t="shared" si="15"/>
        <v>500</v>
      </c>
      <c r="J364" s="5" t="s">
        <v>34</v>
      </c>
      <c r="K364" s="11" t="str">
        <f t="shared" si="16"/>
        <v>juin</v>
      </c>
      <c r="L364" s="11" t="str">
        <f t="shared" si="17"/>
        <v>Non</v>
      </c>
    </row>
    <row r="365" spans="1:12" x14ac:dyDescent="0.3">
      <c r="A365" s="5" t="s">
        <v>438</v>
      </c>
      <c r="B365" s="6">
        <v>46199</v>
      </c>
      <c r="C365" s="5" t="s">
        <v>20</v>
      </c>
      <c r="D365" s="5" t="s">
        <v>32</v>
      </c>
      <c r="E365" s="5" t="s">
        <v>51</v>
      </c>
      <c r="F365" s="5" t="s">
        <v>52</v>
      </c>
      <c r="G365" s="5">
        <v>1</v>
      </c>
      <c r="H365" s="7">
        <v>500</v>
      </c>
      <c r="I365" s="7">
        <f t="shared" si="15"/>
        <v>500</v>
      </c>
      <c r="J365" s="5" t="s">
        <v>34</v>
      </c>
      <c r="K365" s="11" t="str">
        <f t="shared" si="16"/>
        <v>juin</v>
      </c>
      <c r="L365" s="11" t="str">
        <f t="shared" si="17"/>
        <v>Non</v>
      </c>
    </row>
    <row r="366" spans="1:12" x14ac:dyDescent="0.3">
      <c r="A366" s="5" t="s">
        <v>106</v>
      </c>
      <c r="B366" s="6">
        <v>46051</v>
      </c>
      <c r="C366" s="5" t="s">
        <v>20</v>
      </c>
      <c r="D366" s="5" t="s">
        <v>21</v>
      </c>
      <c r="E366" s="5" t="s">
        <v>39</v>
      </c>
      <c r="F366" s="5" t="s">
        <v>29</v>
      </c>
      <c r="G366" s="5">
        <v>1</v>
      </c>
      <c r="H366" s="7">
        <v>450</v>
      </c>
      <c r="I366" s="7">
        <f t="shared" si="15"/>
        <v>450</v>
      </c>
      <c r="J366" s="5" t="s">
        <v>34</v>
      </c>
      <c r="K366" s="11" t="str">
        <f t="shared" si="16"/>
        <v>janvier</v>
      </c>
      <c r="L366" s="11" t="str">
        <f t="shared" si="17"/>
        <v>Non</v>
      </c>
    </row>
    <row r="367" spans="1:12" x14ac:dyDescent="0.3">
      <c r="A367" s="5" t="s">
        <v>127</v>
      </c>
      <c r="B367" s="6">
        <v>46058</v>
      </c>
      <c r="C367" s="5" t="s">
        <v>26</v>
      </c>
      <c r="D367" s="5" t="s">
        <v>27</v>
      </c>
      <c r="E367" s="5" t="s">
        <v>39</v>
      </c>
      <c r="F367" s="5" t="s">
        <v>29</v>
      </c>
      <c r="G367" s="5">
        <v>1</v>
      </c>
      <c r="H367" s="7">
        <v>450</v>
      </c>
      <c r="I367" s="7">
        <f t="shared" si="15"/>
        <v>450</v>
      </c>
      <c r="J367" s="5" t="s">
        <v>30</v>
      </c>
      <c r="K367" s="11" t="str">
        <f t="shared" si="16"/>
        <v>février</v>
      </c>
      <c r="L367" s="11" t="str">
        <f t="shared" si="17"/>
        <v>Non</v>
      </c>
    </row>
    <row r="368" spans="1:12" x14ac:dyDescent="0.3">
      <c r="A368" s="5" t="s">
        <v>360</v>
      </c>
      <c r="B368" s="6">
        <v>46170</v>
      </c>
      <c r="C368" s="5" t="s">
        <v>44</v>
      </c>
      <c r="D368" s="5" t="s">
        <v>62</v>
      </c>
      <c r="E368" s="5" t="s">
        <v>39</v>
      </c>
      <c r="F368" s="5" t="s">
        <v>29</v>
      </c>
      <c r="G368" s="5">
        <v>1</v>
      </c>
      <c r="H368" s="7">
        <v>450</v>
      </c>
      <c r="I368" s="7">
        <f t="shared" si="15"/>
        <v>450</v>
      </c>
      <c r="J368" s="5" t="s">
        <v>34</v>
      </c>
      <c r="K368" s="11" t="str">
        <f t="shared" si="16"/>
        <v>mai</v>
      </c>
      <c r="L368" s="11" t="str">
        <f t="shared" si="17"/>
        <v>Non</v>
      </c>
    </row>
    <row r="369" spans="1:12" x14ac:dyDescent="0.3">
      <c r="A369" s="5" t="s">
        <v>363</v>
      </c>
      <c r="B369" s="6">
        <v>46172</v>
      </c>
      <c r="C369" s="5" t="s">
        <v>20</v>
      </c>
      <c r="D369" s="5" t="s">
        <v>21</v>
      </c>
      <c r="E369" s="5" t="s">
        <v>39</v>
      </c>
      <c r="F369" s="5" t="s">
        <v>29</v>
      </c>
      <c r="G369" s="5">
        <v>1</v>
      </c>
      <c r="H369" s="7">
        <v>450</v>
      </c>
      <c r="I369" s="7">
        <f t="shared" si="15"/>
        <v>450</v>
      </c>
      <c r="J369" s="5" t="s">
        <v>34</v>
      </c>
      <c r="K369" s="11" t="str">
        <f t="shared" si="16"/>
        <v>mai</v>
      </c>
      <c r="L369" s="11" t="str">
        <f t="shared" si="17"/>
        <v>Non</v>
      </c>
    </row>
    <row r="370" spans="1:12" x14ac:dyDescent="0.3">
      <c r="A370" s="5" t="s">
        <v>69</v>
      </c>
      <c r="B370" s="6">
        <v>46036</v>
      </c>
      <c r="C370" s="5" t="s">
        <v>26</v>
      </c>
      <c r="D370" s="5" t="s">
        <v>38</v>
      </c>
      <c r="E370" s="5" t="s">
        <v>70</v>
      </c>
      <c r="F370" s="5" t="s">
        <v>52</v>
      </c>
      <c r="G370" s="5">
        <v>1</v>
      </c>
      <c r="H370" s="7">
        <v>400</v>
      </c>
      <c r="I370" s="7">
        <f t="shared" si="15"/>
        <v>400</v>
      </c>
      <c r="J370" s="5" t="s">
        <v>24</v>
      </c>
      <c r="K370" s="11" t="str">
        <f t="shared" si="16"/>
        <v>janvier</v>
      </c>
      <c r="L370" s="11" t="str">
        <f t="shared" si="17"/>
        <v>Non</v>
      </c>
    </row>
    <row r="371" spans="1:12" x14ac:dyDescent="0.3">
      <c r="A371" s="5" t="s">
        <v>90</v>
      </c>
      <c r="B371" s="6">
        <v>46045</v>
      </c>
      <c r="C371" s="5" t="s">
        <v>44</v>
      </c>
      <c r="D371" s="5" t="s">
        <v>45</v>
      </c>
      <c r="E371" s="5" t="s">
        <v>70</v>
      </c>
      <c r="F371" s="5" t="s">
        <v>52</v>
      </c>
      <c r="G371" s="5">
        <v>1</v>
      </c>
      <c r="H371" s="7">
        <v>400</v>
      </c>
      <c r="I371" s="7">
        <f t="shared" si="15"/>
        <v>400</v>
      </c>
      <c r="J371" s="5" t="s">
        <v>24</v>
      </c>
      <c r="K371" s="11" t="str">
        <f t="shared" si="16"/>
        <v>janvier</v>
      </c>
      <c r="L371" s="11" t="str">
        <f t="shared" si="17"/>
        <v>Non</v>
      </c>
    </row>
    <row r="372" spans="1:12" x14ac:dyDescent="0.3">
      <c r="A372" s="5" t="s">
        <v>153</v>
      </c>
      <c r="B372" s="6">
        <v>46069</v>
      </c>
      <c r="C372" s="5" t="s">
        <v>26</v>
      </c>
      <c r="D372" s="5" t="s">
        <v>38</v>
      </c>
      <c r="E372" s="5" t="s">
        <v>70</v>
      </c>
      <c r="F372" s="5" t="s">
        <v>52</v>
      </c>
      <c r="G372" s="5">
        <v>1</v>
      </c>
      <c r="H372" s="7">
        <v>400</v>
      </c>
      <c r="I372" s="7">
        <f t="shared" si="15"/>
        <v>400</v>
      </c>
      <c r="J372" s="5" t="s">
        <v>30</v>
      </c>
      <c r="K372" s="11" t="str">
        <f t="shared" si="16"/>
        <v>février</v>
      </c>
      <c r="L372" s="11" t="str">
        <f t="shared" si="17"/>
        <v>Non</v>
      </c>
    </row>
    <row r="373" spans="1:12" x14ac:dyDescent="0.3">
      <c r="A373" s="5" t="s">
        <v>182</v>
      </c>
      <c r="B373" s="6">
        <v>46090</v>
      </c>
      <c r="C373" s="5" t="s">
        <v>44</v>
      </c>
      <c r="D373" s="5" t="s">
        <v>45</v>
      </c>
      <c r="E373" s="5" t="s">
        <v>70</v>
      </c>
      <c r="F373" s="5" t="s">
        <v>52</v>
      </c>
      <c r="G373" s="5">
        <v>1</v>
      </c>
      <c r="H373" s="7">
        <v>400</v>
      </c>
      <c r="I373" s="7">
        <f t="shared" si="15"/>
        <v>400</v>
      </c>
      <c r="J373" s="5" t="s">
        <v>24</v>
      </c>
      <c r="K373" s="11" t="str">
        <f t="shared" si="16"/>
        <v>mars</v>
      </c>
      <c r="L373" s="11" t="str">
        <f t="shared" si="17"/>
        <v>Non</v>
      </c>
    </row>
    <row r="374" spans="1:12" x14ac:dyDescent="0.3">
      <c r="A374" s="5" t="s">
        <v>200</v>
      </c>
      <c r="B374" s="6">
        <v>46098</v>
      </c>
      <c r="C374" s="5" t="s">
        <v>26</v>
      </c>
      <c r="D374" s="5" t="s">
        <v>38</v>
      </c>
      <c r="E374" s="5" t="s">
        <v>28</v>
      </c>
      <c r="F374" s="5" t="s">
        <v>29</v>
      </c>
      <c r="G374" s="5">
        <v>1</v>
      </c>
      <c r="H374" s="7">
        <v>400</v>
      </c>
      <c r="I374" s="7">
        <f t="shared" si="15"/>
        <v>400</v>
      </c>
      <c r="J374" s="5" t="s">
        <v>34</v>
      </c>
      <c r="K374" s="11" t="str">
        <f t="shared" si="16"/>
        <v>mars</v>
      </c>
      <c r="L374" s="11" t="str">
        <f t="shared" si="17"/>
        <v>Non</v>
      </c>
    </row>
    <row r="375" spans="1:12" x14ac:dyDescent="0.3">
      <c r="A375" s="5" t="s">
        <v>215</v>
      </c>
      <c r="B375" s="6">
        <v>46108</v>
      </c>
      <c r="C375" s="5" t="s">
        <v>20</v>
      </c>
      <c r="D375" s="5" t="s">
        <v>32</v>
      </c>
      <c r="E375" s="5" t="s">
        <v>28</v>
      </c>
      <c r="F375" s="5" t="s">
        <v>29</v>
      </c>
      <c r="G375" s="5">
        <v>1</v>
      </c>
      <c r="H375" s="7">
        <v>400</v>
      </c>
      <c r="I375" s="7">
        <f t="shared" si="15"/>
        <v>400</v>
      </c>
      <c r="J375" s="5" t="s">
        <v>30</v>
      </c>
      <c r="K375" s="11" t="str">
        <f t="shared" si="16"/>
        <v>mars</v>
      </c>
      <c r="L375" s="11" t="str">
        <f t="shared" si="17"/>
        <v>Non</v>
      </c>
    </row>
    <row r="376" spans="1:12" x14ac:dyDescent="0.3">
      <c r="A376" s="5" t="s">
        <v>228</v>
      </c>
      <c r="B376" s="6">
        <v>46113</v>
      </c>
      <c r="C376" s="5" t="s">
        <v>44</v>
      </c>
      <c r="D376" s="5" t="s">
        <v>62</v>
      </c>
      <c r="E376" s="5" t="s">
        <v>28</v>
      </c>
      <c r="F376" s="5" t="s">
        <v>29</v>
      </c>
      <c r="G376" s="5">
        <v>1</v>
      </c>
      <c r="H376" s="7">
        <v>400</v>
      </c>
      <c r="I376" s="7">
        <f t="shared" si="15"/>
        <v>400</v>
      </c>
      <c r="J376" s="5" t="s">
        <v>34</v>
      </c>
      <c r="K376" s="11" t="str">
        <f t="shared" si="16"/>
        <v>avril</v>
      </c>
      <c r="L376" s="11" t="str">
        <f t="shared" si="17"/>
        <v>Non</v>
      </c>
    </row>
    <row r="377" spans="1:12" x14ac:dyDescent="0.3">
      <c r="A377" s="5" t="s">
        <v>229</v>
      </c>
      <c r="B377" s="6">
        <v>46114</v>
      </c>
      <c r="C377" s="5" t="s">
        <v>26</v>
      </c>
      <c r="D377" s="5" t="s">
        <v>38</v>
      </c>
      <c r="E377" s="5" t="s">
        <v>28</v>
      </c>
      <c r="F377" s="5" t="s">
        <v>29</v>
      </c>
      <c r="G377" s="5">
        <v>1</v>
      </c>
      <c r="H377" s="7">
        <v>400</v>
      </c>
      <c r="I377" s="7">
        <f t="shared" si="15"/>
        <v>400</v>
      </c>
      <c r="J377" s="5" t="s">
        <v>30</v>
      </c>
      <c r="K377" s="11" t="str">
        <f t="shared" si="16"/>
        <v>avril</v>
      </c>
      <c r="L377" s="11" t="str">
        <f t="shared" si="17"/>
        <v>Non</v>
      </c>
    </row>
    <row r="378" spans="1:12" x14ac:dyDescent="0.3">
      <c r="A378" s="5" t="s">
        <v>252</v>
      </c>
      <c r="B378" s="6">
        <v>46124</v>
      </c>
      <c r="C378" s="5" t="s">
        <v>20</v>
      </c>
      <c r="D378" s="5" t="s">
        <v>32</v>
      </c>
      <c r="E378" s="5" t="s">
        <v>28</v>
      </c>
      <c r="F378" s="5" t="s">
        <v>29</v>
      </c>
      <c r="G378" s="5">
        <v>1</v>
      </c>
      <c r="H378" s="7">
        <v>400</v>
      </c>
      <c r="I378" s="7">
        <f t="shared" si="15"/>
        <v>400</v>
      </c>
      <c r="J378" s="5" t="s">
        <v>34</v>
      </c>
      <c r="K378" s="11" t="str">
        <f t="shared" si="16"/>
        <v>avril</v>
      </c>
      <c r="L378" s="11" t="str">
        <f t="shared" si="17"/>
        <v>Non</v>
      </c>
    </row>
    <row r="379" spans="1:12" x14ac:dyDescent="0.3">
      <c r="A379" s="5" t="s">
        <v>294</v>
      </c>
      <c r="B379" s="6">
        <v>46142</v>
      </c>
      <c r="C379" s="5" t="s">
        <v>44</v>
      </c>
      <c r="D379" s="5" t="s">
        <v>62</v>
      </c>
      <c r="E379" s="5" t="s">
        <v>70</v>
      </c>
      <c r="F379" s="5" t="s">
        <v>52</v>
      </c>
      <c r="G379" s="5">
        <v>1</v>
      </c>
      <c r="H379" s="7">
        <v>400</v>
      </c>
      <c r="I379" s="7">
        <f t="shared" si="15"/>
        <v>400</v>
      </c>
      <c r="J379" s="5" t="s">
        <v>30</v>
      </c>
      <c r="K379" s="11" t="str">
        <f t="shared" si="16"/>
        <v>avril</v>
      </c>
      <c r="L379" s="11" t="str">
        <f t="shared" si="17"/>
        <v>Non</v>
      </c>
    </row>
    <row r="380" spans="1:12" x14ac:dyDescent="0.3">
      <c r="A380" s="5" t="s">
        <v>343</v>
      </c>
      <c r="B380" s="6">
        <v>46164</v>
      </c>
      <c r="C380" s="5" t="s">
        <v>26</v>
      </c>
      <c r="D380" s="5" t="s">
        <v>27</v>
      </c>
      <c r="E380" s="5" t="s">
        <v>28</v>
      </c>
      <c r="F380" s="5" t="s">
        <v>29</v>
      </c>
      <c r="G380" s="5">
        <v>1</v>
      </c>
      <c r="H380" s="7">
        <v>400</v>
      </c>
      <c r="I380" s="7">
        <f t="shared" si="15"/>
        <v>400</v>
      </c>
      <c r="J380" s="5" t="s">
        <v>30</v>
      </c>
      <c r="K380" s="11" t="str">
        <f t="shared" si="16"/>
        <v>mai</v>
      </c>
      <c r="L380" s="11" t="str">
        <f t="shared" si="17"/>
        <v>Non</v>
      </c>
    </row>
    <row r="381" spans="1:12" x14ac:dyDescent="0.3">
      <c r="A381" s="5" t="s">
        <v>370</v>
      </c>
      <c r="B381" s="6">
        <v>46174</v>
      </c>
      <c r="C381" s="5" t="s">
        <v>26</v>
      </c>
      <c r="D381" s="5" t="s">
        <v>38</v>
      </c>
      <c r="E381" s="5" t="s">
        <v>70</v>
      </c>
      <c r="F381" s="5" t="s">
        <v>52</v>
      </c>
      <c r="G381" s="5">
        <v>1</v>
      </c>
      <c r="H381" s="7">
        <v>400</v>
      </c>
      <c r="I381" s="7">
        <f t="shared" si="15"/>
        <v>400</v>
      </c>
      <c r="J381" s="5" t="s">
        <v>34</v>
      </c>
      <c r="K381" s="11" t="str">
        <f t="shared" si="16"/>
        <v>juin</v>
      </c>
      <c r="L381" s="11" t="str">
        <f t="shared" si="17"/>
        <v>Non</v>
      </c>
    </row>
    <row r="382" spans="1:12" x14ac:dyDescent="0.3">
      <c r="A382" s="5" t="s">
        <v>371</v>
      </c>
      <c r="B382" s="6">
        <v>46175</v>
      </c>
      <c r="C382" s="5" t="s">
        <v>44</v>
      </c>
      <c r="D382" s="5" t="s">
        <v>62</v>
      </c>
      <c r="E382" s="5" t="s">
        <v>70</v>
      </c>
      <c r="F382" s="5" t="s">
        <v>52</v>
      </c>
      <c r="G382" s="5">
        <v>1</v>
      </c>
      <c r="H382" s="7">
        <v>400</v>
      </c>
      <c r="I382" s="7">
        <f t="shared" si="15"/>
        <v>400</v>
      </c>
      <c r="J382" s="5" t="s">
        <v>34</v>
      </c>
      <c r="K382" s="11" t="str">
        <f t="shared" si="16"/>
        <v>juin</v>
      </c>
      <c r="L382" s="11" t="str">
        <f t="shared" si="17"/>
        <v>Non</v>
      </c>
    </row>
    <row r="383" spans="1:12" x14ac:dyDescent="0.3">
      <c r="A383" s="5" t="s">
        <v>399</v>
      </c>
      <c r="B383" s="6">
        <v>46186</v>
      </c>
      <c r="C383" s="5" t="s">
        <v>20</v>
      </c>
      <c r="D383" s="5" t="s">
        <v>21</v>
      </c>
      <c r="E383" s="5" t="s">
        <v>70</v>
      </c>
      <c r="F383" s="5" t="s">
        <v>52</v>
      </c>
      <c r="G383" s="5">
        <v>1</v>
      </c>
      <c r="H383" s="7">
        <v>400</v>
      </c>
      <c r="I383" s="7">
        <f t="shared" si="15"/>
        <v>400</v>
      </c>
      <c r="J383" s="5" t="s">
        <v>24</v>
      </c>
      <c r="K383" s="11" t="str">
        <f t="shared" si="16"/>
        <v>juin</v>
      </c>
      <c r="L383" s="11" t="str">
        <f t="shared" si="17"/>
        <v>Non</v>
      </c>
    </row>
    <row r="384" spans="1:12" x14ac:dyDescent="0.3">
      <c r="A384" s="5" t="s">
        <v>400</v>
      </c>
      <c r="B384" s="6">
        <v>46187</v>
      </c>
      <c r="C384" s="5" t="s">
        <v>20</v>
      </c>
      <c r="D384" s="5" t="s">
        <v>32</v>
      </c>
      <c r="E384" s="5" t="s">
        <v>28</v>
      </c>
      <c r="F384" s="5" t="s">
        <v>29</v>
      </c>
      <c r="G384" s="5">
        <v>1</v>
      </c>
      <c r="H384" s="7">
        <v>400</v>
      </c>
      <c r="I384" s="7">
        <f t="shared" si="15"/>
        <v>400</v>
      </c>
      <c r="J384" s="5" t="s">
        <v>34</v>
      </c>
      <c r="K384" s="11" t="str">
        <f t="shared" si="16"/>
        <v>juin</v>
      </c>
      <c r="L384" s="11" t="str">
        <f t="shared" si="17"/>
        <v>Non</v>
      </c>
    </row>
    <row r="385" spans="1:12" x14ac:dyDescent="0.3">
      <c r="A385" s="5" t="s">
        <v>419</v>
      </c>
      <c r="B385" s="6">
        <v>46192</v>
      </c>
      <c r="C385" s="5" t="s">
        <v>26</v>
      </c>
      <c r="D385" s="5" t="s">
        <v>27</v>
      </c>
      <c r="E385" s="5" t="s">
        <v>28</v>
      </c>
      <c r="F385" s="5" t="s">
        <v>29</v>
      </c>
      <c r="G385" s="5">
        <v>1</v>
      </c>
      <c r="H385" s="7">
        <v>400</v>
      </c>
      <c r="I385" s="7">
        <f t="shared" si="15"/>
        <v>400</v>
      </c>
      <c r="J385" s="5" t="s">
        <v>24</v>
      </c>
      <c r="K385" s="11" t="str">
        <f t="shared" si="16"/>
        <v>juin</v>
      </c>
      <c r="L385" s="11" t="str">
        <f t="shared" si="17"/>
        <v>Non</v>
      </c>
    </row>
    <row r="386" spans="1:12" x14ac:dyDescent="0.3">
      <c r="A386" s="5" t="s">
        <v>162</v>
      </c>
      <c r="B386" s="6">
        <v>46076</v>
      </c>
      <c r="C386" s="5" t="s">
        <v>44</v>
      </c>
      <c r="D386" s="5" t="s">
        <v>62</v>
      </c>
      <c r="E386" s="5" t="s">
        <v>46</v>
      </c>
      <c r="F386" s="5" t="s">
        <v>47</v>
      </c>
      <c r="G386" s="5">
        <v>1</v>
      </c>
      <c r="H386" s="7">
        <v>300</v>
      </c>
      <c r="I386" s="7">
        <f t="shared" ref="I386:I401" si="18">G386*H386</f>
        <v>300</v>
      </c>
      <c r="J386" s="5" t="s">
        <v>34</v>
      </c>
      <c r="K386" s="11" t="str">
        <f t="shared" si="16"/>
        <v>février</v>
      </c>
      <c r="L386" s="11" t="str">
        <f t="shared" si="17"/>
        <v>Non</v>
      </c>
    </row>
    <row r="387" spans="1:12" x14ac:dyDescent="0.3">
      <c r="A387" s="5" t="s">
        <v>227</v>
      </c>
      <c r="B387" s="6">
        <v>46113</v>
      </c>
      <c r="C387" s="5" t="s">
        <v>44</v>
      </c>
      <c r="D387" s="5" t="s">
        <v>62</v>
      </c>
      <c r="E387" s="5" t="s">
        <v>46</v>
      </c>
      <c r="F387" s="5" t="s">
        <v>47</v>
      </c>
      <c r="G387" s="5">
        <v>1</v>
      </c>
      <c r="H387" s="7">
        <v>300</v>
      </c>
      <c r="I387" s="7">
        <f t="shared" si="18"/>
        <v>300</v>
      </c>
      <c r="J387" s="5" t="s">
        <v>24</v>
      </c>
      <c r="K387" s="11" t="str">
        <f t="shared" ref="K387:K401" si="19">TEXT(B387,"mmmm")</f>
        <v>avril</v>
      </c>
      <c r="L387" s="11" t="str">
        <f t="shared" ref="L387:L401" si="20">IF(I387&gt;5000,"Oui","Non")</f>
        <v>Non</v>
      </c>
    </row>
    <row r="388" spans="1:12" x14ac:dyDescent="0.3">
      <c r="A388" s="5" t="s">
        <v>309</v>
      </c>
      <c r="B388" s="6">
        <v>46147</v>
      </c>
      <c r="C388" s="5" t="s">
        <v>44</v>
      </c>
      <c r="D388" s="5" t="s">
        <v>45</v>
      </c>
      <c r="E388" s="5" t="s">
        <v>46</v>
      </c>
      <c r="F388" s="5" t="s">
        <v>47</v>
      </c>
      <c r="G388" s="5">
        <v>1</v>
      </c>
      <c r="H388" s="7">
        <v>300</v>
      </c>
      <c r="I388" s="7">
        <f t="shared" si="18"/>
        <v>300</v>
      </c>
      <c r="J388" s="5" t="s">
        <v>34</v>
      </c>
      <c r="K388" s="11" t="str">
        <f t="shared" si="19"/>
        <v>mai</v>
      </c>
      <c r="L388" s="11" t="str">
        <f t="shared" si="20"/>
        <v>Non</v>
      </c>
    </row>
    <row r="389" spans="1:12" x14ac:dyDescent="0.3">
      <c r="A389" s="5" t="s">
        <v>354</v>
      </c>
      <c r="B389" s="6">
        <v>46168</v>
      </c>
      <c r="C389" s="5" t="s">
        <v>26</v>
      </c>
      <c r="D389" s="5" t="s">
        <v>27</v>
      </c>
      <c r="E389" s="5" t="s">
        <v>46</v>
      </c>
      <c r="F389" s="5" t="s">
        <v>47</v>
      </c>
      <c r="G389" s="5">
        <v>1</v>
      </c>
      <c r="H389" s="7">
        <v>300</v>
      </c>
      <c r="I389" s="7">
        <f t="shared" si="18"/>
        <v>300</v>
      </c>
      <c r="J389" s="5" t="s">
        <v>34</v>
      </c>
      <c r="K389" s="11" t="str">
        <f t="shared" si="19"/>
        <v>mai</v>
      </c>
      <c r="L389" s="11" t="str">
        <f t="shared" si="20"/>
        <v>Non</v>
      </c>
    </row>
    <row r="390" spans="1:12" x14ac:dyDescent="0.3">
      <c r="A390" s="5" t="s">
        <v>443</v>
      </c>
      <c r="B390" s="6">
        <v>46201</v>
      </c>
      <c r="C390" s="5" t="s">
        <v>44</v>
      </c>
      <c r="D390" s="5" t="s">
        <v>62</v>
      </c>
      <c r="E390" s="5" t="s">
        <v>46</v>
      </c>
      <c r="F390" s="5" t="s">
        <v>47</v>
      </c>
      <c r="G390" s="5">
        <v>1</v>
      </c>
      <c r="H390" s="7">
        <v>300</v>
      </c>
      <c r="I390" s="7">
        <f t="shared" si="18"/>
        <v>300</v>
      </c>
      <c r="J390" s="5" t="s">
        <v>24</v>
      </c>
      <c r="K390" s="11" t="str">
        <f t="shared" si="19"/>
        <v>juin</v>
      </c>
      <c r="L390" s="11" t="str">
        <f t="shared" si="20"/>
        <v>Non</v>
      </c>
    </row>
    <row r="391" spans="1:12" x14ac:dyDescent="0.3">
      <c r="A391" s="5" t="s">
        <v>444</v>
      </c>
      <c r="B391" s="6">
        <v>46202</v>
      </c>
      <c r="C391" s="5" t="s">
        <v>44</v>
      </c>
      <c r="D391" s="5" t="s">
        <v>45</v>
      </c>
      <c r="E391" s="5" t="s">
        <v>46</v>
      </c>
      <c r="F391" s="5" t="s">
        <v>47</v>
      </c>
      <c r="G391" s="5">
        <v>1</v>
      </c>
      <c r="H391" s="7">
        <v>300</v>
      </c>
      <c r="I391" s="7">
        <f t="shared" si="18"/>
        <v>300</v>
      </c>
      <c r="J391" s="5" t="s">
        <v>34</v>
      </c>
      <c r="K391" s="11" t="str">
        <f t="shared" si="19"/>
        <v>juin</v>
      </c>
      <c r="L391" s="11" t="str">
        <f t="shared" si="20"/>
        <v>Non</v>
      </c>
    </row>
    <row r="392" spans="1:12" x14ac:dyDescent="0.3">
      <c r="A392" s="5" t="s">
        <v>49</v>
      </c>
      <c r="B392" s="6">
        <v>46030</v>
      </c>
      <c r="C392" s="5" t="s">
        <v>26</v>
      </c>
      <c r="D392" s="5" t="s">
        <v>38</v>
      </c>
      <c r="E392" s="5" t="s">
        <v>22</v>
      </c>
      <c r="F392" s="5" t="s">
        <v>23</v>
      </c>
      <c r="G392" s="5">
        <v>1</v>
      </c>
      <c r="H392" s="7">
        <v>250</v>
      </c>
      <c r="I392" s="7">
        <f t="shared" si="18"/>
        <v>250</v>
      </c>
      <c r="J392" s="5" t="s">
        <v>34</v>
      </c>
      <c r="K392" s="11" t="str">
        <f t="shared" si="19"/>
        <v>janvier</v>
      </c>
      <c r="L392" s="11" t="str">
        <f t="shared" si="20"/>
        <v>Non</v>
      </c>
    </row>
    <row r="393" spans="1:12" x14ac:dyDescent="0.3">
      <c r="A393" s="5" t="s">
        <v>142</v>
      </c>
      <c r="B393" s="6">
        <v>46065</v>
      </c>
      <c r="C393" s="5" t="s">
        <v>44</v>
      </c>
      <c r="D393" s="5" t="s">
        <v>45</v>
      </c>
      <c r="E393" s="5" t="s">
        <v>22</v>
      </c>
      <c r="F393" s="5" t="s">
        <v>23</v>
      </c>
      <c r="G393" s="5">
        <v>1</v>
      </c>
      <c r="H393" s="7">
        <v>250</v>
      </c>
      <c r="I393" s="7">
        <f t="shared" si="18"/>
        <v>250</v>
      </c>
      <c r="J393" s="5" t="s">
        <v>24</v>
      </c>
      <c r="K393" s="11" t="str">
        <f t="shared" si="19"/>
        <v>février</v>
      </c>
      <c r="L393" s="11" t="str">
        <f t="shared" si="20"/>
        <v>Non</v>
      </c>
    </row>
    <row r="394" spans="1:12" x14ac:dyDescent="0.3">
      <c r="A394" s="5" t="s">
        <v>147</v>
      </c>
      <c r="B394" s="6">
        <v>46067</v>
      </c>
      <c r="C394" s="5" t="s">
        <v>44</v>
      </c>
      <c r="D394" s="5" t="s">
        <v>45</v>
      </c>
      <c r="E394" s="5" t="s">
        <v>22</v>
      </c>
      <c r="F394" s="5" t="s">
        <v>23</v>
      </c>
      <c r="G394" s="5">
        <v>1</v>
      </c>
      <c r="H394" s="7">
        <v>250</v>
      </c>
      <c r="I394" s="7">
        <f t="shared" si="18"/>
        <v>250</v>
      </c>
      <c r="J394" s="5" t="s">
        <v>34</v>
      </c>
      <c r="K394" s="11" t="str">
        <f t="shared" si="19"/>
        <v>février</v>
      </c>
      <c r="L394" s="11" t="str">
        <f t="shared" si="20"/>
        <v>Non</v>
      </c>
    </row>
    <row r="395" spans="1:12" x14ac:dyDescent="0.3">
      <c r="A395" s="5" t="s">
        <v>164</v>
      </c>
      <c r="B395" s="6">
        <v>46077</v>
      </c>
      <c r="C395" s="5" t="s">
        <v>44</v>
      </c>
      <c r="D395" s="5" t="s">
        <v>62</v>
      </c>
      <c r="E395" s="5" t="s">
        <v>22</v>
      </c>
      <c r="F395" s="5" t="s">
        <v>23</v>
      </c>
      <c r="G395" s="5">
        <v>1</v>
      </c>
      <c r="H395" s="7">
        <v>250</v>
      </c>
      <c r="I395" s="7">
        <f t="shared" si="18"/>
        <v>250</v>
      </c>
      <c r="J395" s="5" t="s">
        <v>30</v>
      </c>
      <c r="K395" s="11" t="str">
        <f t="shared" si="19"/>
        <v>février</v>
      </c>
      <c r="L395" s="11" t="str">
        <f t="shared" si="20"/>
        <v>Non</v>
      </c>
    </row>
    <row r="396" spans="1:12" x14ac:dyDescent="0.3">
      <c r="A396" s="5" t="s">
        <v>167</v>
      </c>
      <c r="B396" s="6">
        <v>46078</v>
      </c>
      <c r="C396" s="5" t="s">
        <v>26</v>
      </c>
      <c r="D396" s="5" t="s">
        <v>38</v>
      </c>
      <c r="E396" s="5" t="s">
        <v>22</v>
      </c>
      <c r="F396" s="5" t="s">
        <v>23</v>
      </c>
      <c r="G396" s="5">
        <v>1</v>
      </c>
      <c r="H396" s="7">
        <v>250</v>
      </c>
      <c r="I396" s="7">
        <f t="shared" si="18"/>
        <v>250</v>
      </c>
      <c r="J396" s="5" t="s">
        <v>30</v>
      </c>
      <c r="K396" s="11" t="str">
        <f t="shared" si="19"/>
        <v>février</v>
      </c>
      <c r="L396" s="11" t="str">
        <f t="shared" si="20"/>
        <v>Non</v>
      </c>
    </row>
    <row r="397" spans="1:12" x14ac:dyDescent="0.3">
      <c r="A397" s="5" t="s">
        <v>222</v>
      </c>
      <c r="B397" s="6">
        <v>46109</v>
      </c>
      <c r="C397" s="5" t="s">
        <v>44</v>
      </c>
      <c r="D397" s="5" t="s">
        <v>62</v>
      </c>
      <c r="E397" s="5" t="s">
        <v>22</v>
      </c>
      <c r="F397" s="5" t="s">
        <v>23</v>
      </c>
      <c r="G397" s="5">
        <v>1</v>
      </c>
      <c r="H397" s="7">
        <v>250</v>
      </c>
      <c r="I397" s="7">
        <f t="shared" si="18"/>
        <v>250</v>
      </c>
      <c r="J397" s="5" t="s">
        <v>34</v>
      </c>
      <c r="K397" s="11" t="str">
        <f t="shared" si="19"/>
        <v>mars</v>
      </c>
      <c r="L397" s="11" t="str">
        <f t="shared" si="20"/>
        <v>Non</v>
      </c>
    </row>
    <row r="398" spans="1:12" x14ac:dyDescent="0.3">
      <c r="A398" s="5" t="s">
        <v>225</v>
      </c>
      <c r="B398" s="6">
        <v>46111</v>
      </c>
      <c r="C398" s="5" t="s">
        <v>44</v>
      </c>
      <c r="D398" s="5" t="s">
        <v>62</v>
      </c>
      <c r="E398" s="5" t="s">
        <v>22</v>
      </c>
      <c r="F398" s="5" t="s">
        <v>23</v>
      </c>
      <c r="G398" s="5">
        <v>1</v>
      </c>
      <c r="H398" s="7">
        <v>250</v>
      </c>
      <c r="I398" s="7">
        <f t="shared" si="18"/>
        <v>250</v>
      </c>
      <c r="J398" s="5" t="s">
        <v>30</v>
      </c>
      <c r="K398" s="11" t="str">
        <f t="shared" si="19"/>
        <v>mars</v>
      </c>
      <c r="L398" s="11" t="str">
        <f t="shared" si="20"/>
        <v>Non</v>
      </c>
    </row>
    <row r="399" spans="1:12" x14ac:dyDescent="0.3">
      <c r="A399" s="5" t="s">
        <v>281</v>
      </c>
      <c r="B399" s="6">
        <v>46137</v>
      </c>
      <c r="C399" s="5" t="s">
        <v>44</v>
      </c>
      <c r="D399" s="5" t="s">
        <v>62</v>
      </c>
      <c r="E399" s="5" t="s">
        <v>22</v>
      </c>
      <c r="F399" s="5" t="s">
        <v>23</v>
      </c>
      <c r="G399" s="5">
        <v>1</v>
      </c>
      <c r="H399" s="7">
        <v>250</v>
      </c>
      <c r="I399" s="7">
        <f t="shared" si="18"/>
        <v>250</v>
      </c>
      <c r="J399" s="5" t="s">
        <v>30</v>
      </c>
      <c r="K399" s="11" t="str">
        <f t="shared" si="19"/>
        <v>avril</v>
      </c>
      <c r="L399" s="11" t="str">
        <f t="shared" si="20"/>
        <v>Non</v>
      </c>
    </row>
    <row r="400" spans="1:12" x14ac:dyDescent="0.3">
      <c r="A400" s="5" t="s">
        <v>297</v>
      </c>
      <c r="B400" s="6">
        <v>46142</v>
      </c>
      <c r="C400" s="5" t="s">
        <v>20</v>
      </c>
      <c r="D400" s="5" t="s">
        <v>32</v>
      </c>
      <c r="E400" s="5" t="s">
        <v>22</v>
      </c>
      <c r="F400" s="5" t="s">
        <v>23</v>
      </c>
      <c r="G400" s="5">
        <v>1</v>
      </c>
      <c r="H400" s="7">
        <v>250</v>
      </c>
      <c r="I400" s="7">
        <f t="shared" si="18"/>
        <v>250</v>
      </c>
      <c r="J400" s="5" t="s">
        <v>34</v>
      </c>
      <c r="K400" s="11" t="str">
        <f t="shared" si="19"/>
        <v>avril</v>
      </c>
      <c r="L400" s="11" t="str">
        <f t="shared" si="20"/>
        <v>Non</v>
      </c>
    </row>
    <row r="401" spans="1:12" x14ac:dyDescent="0.3">
      <c r="A401" s="5" t="s">
        <v>307</v>
      </c>
      <c r="B401" s="6">
        <v>46146</v>
      </c>
      <c r="C401" s="5" t="s">
        <v>20</v>
      </c>
      <c r="D401" s="5" t="s">
        <v>21</v>
      </c>
      <c r="E401" s="5" t="s">
        <v>22</v>
      </c>
      <c r="F401" s="5" t="s">
        <v>23</v>
      </c>
      <c r="G401" s="5">
        <v>1</v>
      </c>
      <c r="H401" s="7">
        <v>250</v>
      </c>
      <c r="I401" s="7">
        <f t="shared" si="18"/>
        <v>250</v>
      </c>
      <c r="J401" s="5" t="s">
        <v>34</v>
      </c>
      <c r="K401" s="11" t="str">
        <f t="shared" si="19"/>
        <v>mai</v>
      </c>
      <c r="L401" s="11" t="str">
        <f t="shared" si="20"/>
        <v>Non</v>
      </c>
    </row>
    <row r="402" spans="1:12" x14ac:dyDescent="0.3">
      <c r="L402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62" customWidth="1"/>
    <col min="3" max="3" width="16" customWidth="1"/>
  </cols>
  <sheetData>
    <row r="1" spans="1:3" x14ac:dyDescent="0.3">
      <c r="A1" s="8" t="s">
        <v>450</v>
      </c>
      <c r="B1" s="8" t="s">
        <v>451</v>
      </c>
      <c r="C1" s="8" t="s">
        <v>452</v>
      </c>
    </row>
    <row r="2" spans="1:3" x14ac:dyDescent="0.3">
      <c r="A2" s="2" t="s">
        <v>9</v>
      </c>
      <c r="B2" s="2" t="s">
        <v>453</v>
      </c>
      <c r="C2" s="2" t="s">
        <v>19</v>
      </c>
    </row>
    <row r="3" spans="1:3" x14ac:dyDescent="0.3">
      <c r="A3" s="2" t="s">
        <v>10</v>
      </c>
      <c r="B3" s="2" t="s">
        <v>454</v>
      </c>
      <c r="C3" s="2" t="s">
        <v>455</v>
      </c>
    </row>
    <row r="4" spans="1:3" x14ac:dyDescent="0.3">
      <c r="A4" s="2" t="s">
        <v>11</v>
      </c>
      <c r="B4" s="2" t="s">
        <v>456</v>
      </c>
      <c r="C4" s="2" t="s">
        <v>20</v>
      </c>
    </row>
    <row r="5" spans="1:3" x14ac:dyDescent="0.3">
      <c r="A5" s="2" t="s">
        <v>12</v>
      </c>
      <c r="B5" s="2" t="s">
        <v>457</v>
      </c>
      <c r="C5" s="2" t="s">
        <v>27</v>
      </c>
    </row>
    <row r="6" spans="1:3" x14ac:dyDescent="0.3">
      <c r="A6" s="2" t="s">
        <v>13</v>
      </c>
      <c r="B6" s="2" t="s">
        <v>458</v>
      </c>
      <c r="C6" s="2" t="s">
        <v>41</v>
      </c>
    </row>
    <row r="7" spans="1:3" x14ac:dyDescent="0.3">
      <c r="A7" s="2" t="s">
        <v>14</v>
      </c>
      <c r="B7" s="2" t="s">
        <v>459</v>
      </c>
      <c r="C7" s="2" t="s">
        <v>29</v>
      </c>
    </row>
    <row r="8" spans="1:3" x14ac:dyDescent="0.3">
      <c r="A8" s="2" t="s">
        <v>15</v>
      </c>
      <c r="B8" s="2" t="s">
        <v>460</v>
      </c>
      <c r="C8" s="2" t="s">
        <v>461</v>
      </c>
    </row>
    <row r="9" spans="1:3" x14ac:dyDescent="0.3">
      <c r="A9" s="2" t="s">
        <v>16</v>
      </c>
      <c r="B9" s="2" t="s">
        <v>462</v>
      </c>
      <c r="C9" s="2" t="s">
        <v>463</v>
      </c>
    </row>
    <row r="10" spans="1:3" x14ac:dyDescent="0.3">
      <c r="A10" s="2" t="s">
        <v>17</v>
      </c>
      <c r="B10" s="2" t="s">
        <v>464</v>
      </c>
      <c r="C10" s="2" t="s">
        <v>465</v>
      </c>
    </row>
    <row r="11" spans="1:3" x14ac:dyDescent="0.3">
      <c r="A11" s="2" t="s">
        <v>18</v>
      </c>
      <c r="B11" s="2" t="s">
        <v>466</v>
      </c>
      <c r="C11" s="2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K8" sqref="K8"/>
    </sheetView>
  </sheetViews>
  <sheetFormatPr baseColWidth="10" defaultColWidth="8.6640625" defaultRowHeight="14.4" x14ac:dyDescent="0.3"/>
  <cols>
    <col min="1" max="1" width="5" customWidth="1"/>
    <col min="2" max="2" width="14" customWidth="1"/>
    <col min="3" max="3" width="80" customWidth="1"/>
    <col min="4" max="4" width="38" customWidth="1"/>
  </cols>
  <sheetData>
    <row r="1" spans="1:4" x14ac:dyDescent="0.3">
      <c r="A1" s="8" t="s">
        <v>467</v>
      </c>
      <c r="B1" s="8" t="s">
        <v>468</v>
      </c>
      <c r="C1" s="8" t="s">
        <v>469</v>
      </c>
      <c r="D1" s="8" t="s">
        <v>470</v>
      </c>
    </row>
    <row r="2" spans="1:4" x14ac:dyDescent="0.3">
      <c r="A2" s="2">
        <v>1</v>
      </c>
      <c r="B2" s="2" t="s">
        <v>471</v>
      </c>
      <c r="C2" s="2" t="s">
        <v>472</v>
      </c>
      <c r="D2" s="2" t="s">
        <v>473</v>
      </c>
    </row>
    <row r="3" spans="1:4" x14ac:dyDescent="0.3">
      <c r="A3" s="2">
        <v>2</v>
      </c>
      <c r="B3" s="2" t="s">
        <v>471</v>
      </c>
      <c r="C3" s="2" t="s">
        <v>474</v>
      </c>
      <c r="D3" s="2" t="s">
        <v>475</v>
      </c>
    </row>
    <row r="4" spans="1:4" x14ac:dyDescent="0.3">
      <c r="A4" s="2">
        <v>3</v>
      </c>
      <c r="B4" s="2" t="s">
        <v>471</v>
      </c>
      <c r="C4" s="2" t="s">
        <v>476</v>
      </c>
      <c r="D4" s="2" t="s">
        <v>477</v>
      </c>
    </row>
    <row r="5" spans="1:4" x14ac:dyDescent="0.3">
      <c r="A5" s="2">
        <v>4</v>
      </c>
      <c r="B5" s="2" t="s">
        <v>471</v>
      </c>
      <c r="C5" s="2" t="s">
        <v>478</v>
      </c>
      <c r="D5" s="2" t="s">
        <v>479</v>
      </c>
    </row>
    <row r="6" spans="1:4" x14ac:dyDescent="0.3">
      <c r="A6" s="2">
        <v>5</v>
      </c>
      <c r="B6" s="2" t="s">
        <v>480</v>
      </c>
      <c r="C6" s="2" t="s">
        <v>481</v>
      </c>
      <c r="D6" s="2" t="s">
        <v>482</v>
      </c>
    </row>
    <row r="7" spans="1:4" x14ac:dyDescent="0.3">
      <c r="A7" s="2">
        <v>6</v>
      </c>
      <c r="B7" s="2" t="s">
        <v>480</v>
      </c>
      <c r="C7" s="2" t="s">
        <v>483</v>
      </c>
      <c r="D7" s="2" t="s">
        <v>484</v>
      </c>
    </row>
    <row r="8" spans="1:4" x14ac:dyDescent="0.3">
      <c r="A8" s="2">
        <v>7</v>
      </c>
      <c r="B8" s="2" t="s">
        <v>480</v>
      </c>
      <c r="C8" s="2" t="s">
        <v>485</v>
      </c>
      <c r="D8" s="2" t="s">
        <v>486</v>
      </c>
    </row>
    <row r="9" spans="1:4" x14ac:dyDescent="0.3">
      <c r="A9" s="2">
        <v>8</v>
      </c>
      <c r="B9" s="2" t="s">
        <v>480</v>
      </c>
      <c r="C9" s="2" t="s">
        <v>487</v>
      </c>
      <c r="D9" s="2" t="s">
        <v>488</v>
      </c>
    </row>
    <row r="10" spans="1:4" x14ac:dyDescent="0.3">
      <c r="A10" s="2">
        <v>9</v>
      </c>
      <c r="B10" s="2" t="s">
        <v>480</v>
      </c>
      <c r="C10" s="2" t="s">
        <v>489</v>
      </c>
      <c r="D10" s="2" t="s">
        <v>490</v>
      </c>
    </row>
    <row r="11" spans="1:4" x14ac:dyDescent="0.3">
      <c r="A11" s="2">
        <v>10</v>
      </c>
      <c r="B11" s="2" t="s">
        <v>480</v>
      </c>
      <c r="C11" s="2" t="s">
        <v>491</v>
      </c>
      <c r="D11" s="2" t="s">
        <v>492</v>
      </c>
    </row>
    <row r="12" spans="1:4" ht="27.6" x14ac:dyDescent="0.3">
      <c r="A12" s="2">
        <v>11</v>
      </c>
      <c r="B12" s="2" t="s">
        <v>493</v>
      </c>
      <c r="C12" s="2" t="s">
        <v>494</v>
      </c>
      <c r="D12" s="2" t="s">
        <v>495</v>
      </c>
    </row>
    <row r="13" spans="1:4" x14ac:dyDescent="0.3">
      <c r="A13" s="2">
        <v>12</v>
      </c>
      <c r="B13" s="2" t="s">
        <v>493</v>
      </c>
      <c r="C13" s="2" t="s">
        <v>496</v>
      </c>
      <c r="D13" s="2" t="s">
        <v>497</v>
      </c>
    </row>
    <row r="14" spans="1:4" ht="27.6" x14ac:dyDescent="0.3">
      <c r="A14" s="2">
        <v>13</v>
      </c>
      <c r="B14" s="2" t="s">
        <v>493</v>
      </c>
      <c r="C14" s="2" t="s">
        <v>498</v>
      </c>
      <c r="D14" s="2" t="s">
        <v>499</v>
      </c>
    </row>
    <row r="15" spans="1:4" ht="27.6" x14ac:dyDescent="0.3">
      <c r="A15" s="2">
        <v>14</v>
      </c>
      <c r="B15" s="2" t="s">
        <v>493</v>
      </c>
      <c r="C15" s="2" t="s">
        <v>500</v>
      </c>
      <c r="D15" s="2" t="s">
        <v>501</v>
      </c>
    </row>
    <row r="16" spans="1:4" ht="27.6" x14ac:dyDescent="0.3">
      <c r="A16" s="2">
        <v>15</v>
      </c>
      <c r="B16" s="2" t="s">
        <v>493</v>
      </c>
      <c r="C16" s="2" t="s">
        <v>502</v>
      </c>
      <c r="D16" s="2" t="s">
        <v>503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"/>
  <sheetViews>
    <sheetView zoomScaleNormal="100" workbookViewId="0">
      <selection activeCell="E5" sqref="E5"/>
    </sheetView>
  </sheetViews>
  <sheetFormatPr baseColWidth="10" defaultColWidth="8.6640625" defaultRowHeight="14.4" x14ac:dyDescent="0.3"/>
  <cols>
    <col min="1" max="1" width="11.77734375" customWidth="1"/>
    <col min="2" max="2" width="13" customWidth="1"/>
    <col min="3" max="3" width="12" customWidth="1"/>
    <col min="4" max="4" width="11.21875" customWidth="1"/>
    <col min="5" max="5" width="24" customWidth="1"/>
    <col min="6" max="6" width="11" customWidth="1"/>
    <col min="7" max="7" width="15.44140625" customWidth="1"/>
    <col min="8" max="8" width="18.5546875" customWidth="1"/>
    <col min="10" max="10" width="65" customWidth="1"/>
  </cols>
  <sheetData>
    <row r="1" spans="1:10" x14ac:dyDescent="0.3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15</v>
      </c>
      <c r="G1" s="8" t="s">
        <v>504</v>
      </c>
      <c r="H1" s="8" t="s">
        <v>18</v>
      </c>
      <c r="J1" s="9" t="s">
        <v>505</v>
      </c>
    </row>
    <row r="2" spans="1:10" x14ac:dyDescent="0.3">
      <c r="A2" s="5" t="s">
        <v>19</v>
      </c>
      <c r="B2" s="6">
        <v>46121</v>
      </c>
      <c r="C2" s="5" t="s">
        <v>506</v>
      </c>
      <c r="D2" s="5" t="s">
        <v>38</v>
      </c>
      <c r="E2" s="5" t="s">
        <v>507</v>
      </c>
      <c r="F2" s="5">
        <v>3</v>
      </c>
      <c r="G2" s="5">
        <v>250</v>
      </c>
      <c r="H2" s="5" t="s">
        <v>508</v>
      </c>
      <c r="J2" s="5" t="s">
        <v>509</v>
      </c>
    </row>
    <row r="3" spans="1:10" x14ac:dyDescent="0.3">
      <c r="A3" s="5" t="s">
        <v>25</v>
      </c>
      <c r="B3" s="5" t="s">
        <v>510</v>
      </c>
      <c r="C3" s="5" t="s">
        <v>511</v>
      </c>
      <c r="D3" s="5" t="s">
        <v>45</v>
      </c>
      <c r="E3" s="5" t="s">
        <v>512</v>
      </c>
      <c r="F3" s="5">
        <v>3</v>
      </c>
      <c r="G3" s="5">
        <v>1000</v>
      </c>
      <c r="H3" s="5" t="s">
        <v>513</v>
      </c>
      <c r="J3" s="5" t="s">
        <v>514</v>
      </c>
    </row>
    <row r="4" spans="1:10" x14ac:dyDescent="0.3">
      <c r="A4" s="5" t="s">
        <v>31</v>
      </c>
      <c r="B4" s="5" t="s">
        <v>515</v>
      </c>
      <c r="C4" s="5" t="s">
        <v>516</v>
      </c>
      <c r="D4" s="5" t="s">
        <v>27</v>
      </c>
      <c r="E4" s="5" t="s">
        <v>512</v>
      </c>
      <c r="F4" s="5">
        <v>2</v>
      </c>
      <c r="G4" s="5" t="s">
        <v>517</v>
      </c>
      <c r="H4" s="5" t="s">
        <v>518</v>
      </c>
      <c r="J4" s="5" t="s">
        <v>519</v>
      </c>
    </row>
    <row r="5" spans="1:10" x14ac:dyDescent="0.3">
      <c r="A5" s="5" t="s">
        <v>35</v>
      </c>
      <c r="B5" s="5" t="s">
        <v>520</v>
      </c>
      <c r="C5" s="5" t="s">
        <v>521</v>
      </c>
      <c r="D5" s="5" t="s">
        <v>45</v>
      </c>
      <c r="E5" s="5" t="s">
        <v>22</v>
      </c>
      <c r="F5" s="5">
        <v>2</v>
      </c>
      <c r="G5" s="5" t="s">
        <v>522</v>
      </c>
      <c r="H5" s="5" t="s">
        <v>523</v>
      </c>
      <c r="J5" s="5" t="s">
        <v>524</v>
      </c>
    </row>
    <row r="6" spans="1:10" x14ac:dyDescent="0.3">
      <c r="A6" s="5" t="s">
        <v>37</v>
      </c>
      <c r="B6" s="6">
        <v>46167</v>
      </c>
      <c r="C6" s="5" t="s">
        <v>525</v>
      </c>
      <c r="D6" s="5" t="s">
        <v>27</v>
      </c>
      <c r="E6" s="5" t="s">
        <v>66</v>
      </c>
      <c r="F6" s="5">
        <v>2</v>
      </c>
      <c r="G6" s="5">
        <v>1200</v>
      </c>
      <c r="H6" s="5" t="s">
        <v>24</v>
      </c>
      <c r="J6" s="5" t="s">
        <v>526</v>
      </c>
    </row>
    <row r="7" spans="1:10" x14ac:dyDescent="0.3">
      <c r="A7" s="5" t="s">
        <v>40</v>
      </c>
      <c r="B7" s="5" t="s">
        <v>527</v>
      </c>
      <c r="C7" s="5" t="s">
        <v>528</v>
      </c>
      <c r="D7" s="5" t="s">
        <v>38</v>
      </c>
      <c r="E7" s="5" t="s">
        <v>87</v>
      </c>
      <c r="F7" s="5"/>
      <c r="G7" s="5" t="s">
        <v>529</v>
      </c>
      <c r="H7" s="5" t="s">
        <v>34</v>
      </c>
    </row>
    <row r="8" spans="1:10" x14ac:dyDescent="0.3">
      <c r="A8" s="5" t="s">
        <v>42</v>
      </c>
      <c r="B8" s="6">
        <v>46141</v>
      </c>
      <c r="C8" s="5" t="s">
        <v>530</v>
      </c>
      <c r="D8" s="5" t="s">
        <v>62</v>
      </c>
      <c r="E8" s="5" t="s">
        <v>73</v>
      </c>
      <c r="F8" s="5"/>
      <c r="G8" s="5" t="s">
        <v>531</v>
      </c>
      <c r="H8" s="5" t="s">
        <v>30</v>
      </c>
    </row>
    <row r="9" spans="1:10" x14ac:dyDescent="0.3">
      <c r="A9" s="5" t="s">
        <v>43</v>
      </c>
      <c r="B9" s="5" t="s">
        <v>532</v>
      </c>
      <c r="C9" s="5" t="s">
        <v>511</v>
      </c>
      <c r="D9" s="5" t="s">
        <v>45</v>
      </c>
      <c r="E9" s="5" t="s">
        <v>70</v>
      </c>
      <c r="F9" s="5">
        <v>1</v>
      </c>
      <c r="G9" s="5" t="s">
        <v>533</v>
      </c>
      <c r="H9" s="5" t="s">
        <v>34</v>
      </c>
    </row>
    <row r="10" spans="1:10" x14ac:dyDescent="0.3">
      <c r="A10" s="5" t="s">
        <v>48</v>
      </c>
      <c r="B10" s="6">
        <v>46187</v>
      </c>
      <c r="C10" s="5" t="s">
        <v>511</v>
      </c>
      <c r="D10" s="5" t="s">
        <v>62</v>
      </c>
      <c r="E10" s="5" t="s">
        <v>534</v>
      </c>
      <c r="F10" s="5">
        <v>5</v>
      </c>
      <c r="G10" s="5" t="s">
        <v>535</v>
      </c>
      <c r="H10" s="5" t="s">
        <v>30</v>
      </c>
    </row>
    <row r="11" spans="1:10" x14ac:dyDescent="0.3">
      <c r="A11" s="5" t="s">
        <v>49</v>
      </c>
      <c r="B11" s="6">
        <v>46112</v>
      </c>
      <c r="C11" s="5" t="s">
        <v>26</v>
      </c>
      <c r="D11" s="5" t="s">
        <v>27</v>
      </c>
      <c r="E11" s="5" t="s">
        <v>70</v>
      </c>
      <c r="F11" s="5">
        <v>5</v>
      </c>
      <c r="G11" s="5">
        <v>400</v>
      </c>
      <c r="H11" s="5" t="s">
        <v>523</v>
      </c>
    </row>
    <row r="12" spans="1:10" x14ac:dyDescent="0.3">
      <c r="A12" s="5" t="s">
        <v>50</v>
      </c>
      <c r="B12" s="6">
        <v>46162</v>
      </c>
      <c r="C12" s="5" t="s">
        <v>536</v>
      </c>
      <c r="D12" s="5" t="s">
        <v>21</v>
      </c>
      <c r="E12" s="5" t="s">
        <v>537</v>
      </c>
      <c r="F12" s="5">
        <v>2</v>
      </c>
      <c r="G12" s="5">
        <v>1200</v>
      </c>
      <c r="H12" s="5" t="s">
        <v>34</v>
      </c>
    </row>
    <row r="13" spans="1:10" x14ac:dyDescent="0.3">
      <c r="A13" s="5" t="s">
        <v>53</v>
      </c>
      <c r="B13" s="6">
        <v>46051</v>
      </c>
      <c r="C13" s="5" t="s">
        <v>26</v>
      </c>
      <c r="D13" s="5" t="s">
        <v>38</v>
      </c>
      <c r="E13" s="5" t="s">
        <v>46</v>
      </c>
      <c r="F13" s="5">
        <v>1</v>
      </c>
      <c r="G13" s="5" t="s">
        <v>538</v>
      </c>
      <c r="H13" s="5" t="s">
        <v>34</v>
      </c>
    </row>
    <row r="14" spans="1:10" x14ac:dyDescent="0.3">
      <c r="A14" s="5" t="s">
        <v>55</v>
      </c>
      <c r="B14" s="6">
        <v>46195</v>
      </c>
      <c r="C14" s="5" t="s">
        <v>511</v>
      </c>
      <c r="D14" s="5" t="s">
        <v>45</v>
      </c>
      <c r="E14" s="5" t="s">
        <v>39</v>
      </c>
      <c r="F14" s="5">
        <v>1</v>
      </c>
      <c r="G14" s="5">
        <v>450</v>
      </c>
      <c r="H14" s="5" t="s">
        <v>30</v>
      </c>
    </row>
    <row r="15" spans="1:10" x14ac:dyDescent="0.3">
      <c r="A15" s="5" t="s">
        <v>56</v>
      </c>
      <c r="B15" s="6">
        <v>46097</v>
      </c>
      <c r="C15" s="5" t="s">
        <v>506</v>
      </c>
      <c r="D15" s="5" t="s">
        <v>38</v>
      </c>
      <c r="E15" s="5" t="s">
        <v>46</v>
      </c>
      <c r="F15" s="5">
        <v>3</v>
      </c>
      <c r="G15" s="5" t="s">
        <v>539</v>
      </c>
      <c r="H15" s="5" t="s">
        <v>513</v>
      </c>
    </row>
    <row r="16" spans="1:10" x14ac:dyDescent="0.3">
      <c r="A16" s="5" t="s">
        <v>58</v>
      </c>
      <c r="B16" s="5" t="s">
        <v>540</v>
      </c>
      <c r="C16" s="5" t="s">
        <v>511</v>
      </c>
      <c r="D16" s="5" t="s">
        <v>45</v>
      </c>
      <c r="E16" s="5" t="s">
        <v>54</v>
      </c>
      <c r="F16" s="5">
        <v>5</v>
      </c>
      <c r="G16" s="5" t="s">
        <v>541</v>
      </c>
      <c r="H16" s="5" t="s">
        <v>24</v>
      </c>
    </row>
    <row r="17" spans="1:8" x14ac:dyDescent="0.3">
      <c r="A17" s="5" t="s">
        <v>60</v>
      </c>
      <c r="B17" s="6">
        <v>46129</v>
      </c>
      <c r="C17" s="5" t="s">
        <v>542</v>
      </c>
      <c r="D17" s="5" t="s">
        <v>32</v>
      </c>
      <c r="E17" s="5" t="s">
        <v>543</v>
      </c>
      <c r="F17" s="5">
        <v>5</v>
      </c>
      <c r="G17" s="5">
        <v>400</v>
      </c>
      <c r="H17" s="5" t="s">
        <v>513</v>
      </c>
    </row>
    <row r="18" spans="1:8" x14ac:dyDescent="0.3">
      <c r="A18" s="5" t="s">
        <v>61</v>
      </c>
      <c r="B18" s="6">
        <v>46059</v>
      </c>
      <c r="C18" s="5" t="s">
        <v>542</v>
      </c>
      <c r="D18" s="5" t="s">
        <v>32</v>
      </c>
      <c r="E18" s="5" t="s">
        <v>544</v>
      </c>
      <c r="F18" s="5">
        <v>5</v>
      </c>
      <c r="G18" s="5" t="s">
        <v>533</v>
      </c>
      <c r="H18" s="5" t="s">
        <v>30</v>
      </c>
    </row>
    <row r="19" spans="1:8" x14ac:dyDescent="0.3">
      <c r="A19" s="5" t="s">
        <v>63</v>
      </c>
      <c r="B19" s="6">
        <v>46107</v>
      </c>
      <c r="C19" s="5" t="s">
        <v>44</v>
      </c>
      <c r="D19" s="5" t="s">
        <v>45</v>
      </c>
      <c r="E19" s="5" t="s">
        <v>545</v>
      </c>
      <c r="F19" s="5">
        <v>5</v>
      </c>
      <c r="G19" s="5">
        <v>600</v>
      </c>
      <c r="H19" s="5" t="s">
        <v>508</v>
      </c>
    </row>
    <row r="20" spans="1:8" x14ac:dyDescent="0.3">
      <c r="A20" s="5" t="s">
        <v>64</v>
      </c>
      <c r="B20" s="6">
        <v>46177</v>
      </c>
      <c r="C20" s="5" t="s">
        <v>521</v>
      </c>
      <c r="D20" s="5" t="s">
        <v>45</v>
      </c>
      <c r="E20" s="5" t="s">
        <v>546</v>
      </c>
      <c r="F20" s="5">
        <v>1</v>
      </c>
      <c r="G20" s="5" t="s">
        <v>547</v>
      </c>
      <c r="H20" s="5" t="s">
        <v>34</v>
      </c>
    </row>
    <row r="21" spans="1:8" x14ac:dyDescent="0.3">
      <c r="A21" s="5" t="s">
        <v>65</v>
      </c>
      <c r="B21" s="6">
        <v>46108</v>
      </c>
      <c r="C21" s="5" t="s">
        <v>20</v>
      </c>
      <c r="D21" s="5" t="s">
        <v>32</v>
      </c>
      <c r="E21" s="5" t="s">
        <v>548</v>
      </c>
      <c r="F21" s="5">
        <v>2</v>
      </c>
      <c r="G21" s="5" t="s">
        <v>549</v>
      </c>
      <c r="H21" s="5" t="s">
        <v>24</v>
      </c>
    </row>
    <row r="22" spans="1:8" x14ac:dyDescent="0.3">
      <c r="A22" s="5" t="s">
        <v>67</v>
      </c>
      <c r="B22" s="5" t="s">
        <v>550</v>
      </c>
      <c r="C22" s="5" t="s">
        <v>511</v>
      </c>
      <c r="D22" s="5" t="s">
        <v>62</v>
      </c>
      <c r="E22" s="5" t="s">
        <v>507</v>
      </c>
      <c r="F22" s="5">
        <v>3</v>
      </c>
      <c r="G22" s="5">
        <v>250</v>
      </c>
      <c r="H22" s="5" t="s">
        <v>508</v>
      </c>
    </row>
    <row r="23" spans="1:8" x14ac:dyDescent="0.3">
      <c r="A23" s="5" t="s">
        <v>68</v>
      </c>
      <c r="B23" s="5" t="s">
        <v>551</v>
      </c>
      <c r="C23" s="5" t="s">
        <v>20</v>
      </c>
      <c r="D23" s="5" t="s">
        <v>32</v>
      </c>
      <c r="E23" s="5" t="s">
        <v>552</v>
      </c>
      <c r="F23" s="5">
        <v>5</v>
      </c>
      <c r="G23" s="5" t="s">
        <v>553</v>
      </c>
      <c r="H23" s="5" t="s">
        <v>30</v>
      </c>
    </row>
    <row r="24" spans="1:8" x14ac:dyDescent="0.3">
      <c r="A24" s="5" t="s">
        <v>69</v>
      </c>
      <c r="B24" s="5" t="s">
        <v>554</v>
      </c>
      <c r="C24" s="5" t="s">
        <v>521</v>
      </c>
      <c r="D24" s="5" t="s">
        <v>45</v>
      </c>
      <c r="E24" s="5" t="s">
        <v>555</v>
      </c>
      <c r="F24" s="5">
        <v>3</v>
      </c>
      <c r="G24" s="5">
        <v>3500</v>
      </c>
      <c r="H24" s="5" t="s">
        <v>24</v>
      </c>
    </row>
    <row r="25" spans="1:8" x14ac:dyDescent="0.3">
      <c r="A25" s="5" t="s">
        <v>71</v>
      </c>
      <c r="B25" s="5" t="s">
        <v>556</v>
      </c>
      <c r="C25" s="5" t="s">
        <v>536</v>
      </c>
      <c r="D25" s="5" t="s">
        <v>32</v>
      </c>
      <c r="E25" s="5" t="s">
        <v>557</v>
      </c>
      <c r="F25" s="5">
        <v>3</v>
      </c>
      <c r="G25" s="5">
        <v>1000</v>
      </c>
      <c r="H25" s="5" t="s">
        <v>508</v>
      </c>
    </row>
    <row r="26" spans="1:8" x14ac:dyDescent="0.3">
      <c r="A26" s="5" t="s">
        <v>72</v>
      </c>
      <c r="B26" s="6">
        <v>46162</v>
      </c>
      <c r="C26" s="5" t="s">
        <v>20</v>
      </c>
      <c r="D26" s="5" t="s">
        <v>32</v>
      </c>
      <c r="E26" s="5" t="s">
        <v>33</v>
      </c>
      <c r="F26" s="5">
        <v>1</v>
      </c>
      <c r="G26" s="5">
        <v>600</v>
      </c>
      <c r="H26" s="5" t="s">
        <v>558</v>
      </c>
    </row>
    <row r="27" spans="1:8" x14ac:dyDescent="0.3">
      <c r="A27" s="5" t="s">
        <v>74</v>
      </c>
      <c r="B27" s="5" t="s">
        <v>559</v>
      </c>
      <c r="C27" s="5" t="s">
        <v>26</v>
      </c>
      <c r="D27" s="5" t="s">
        <v>27</v>
      </c>
      <c r="E27" s="5" t="s">
        <v>560</v>
      </c>
      <c r="F27" s="5">
        <v>2</v>
      </c>
      <c r="G27" s="5">
        <v>900</v>
      </c>
      <c r="H27" s="5" t="s">
        <v>34</v>
      </c>
    </row>
    <row r="28" spans="1:8" x14ac:dyDescent="0.3">
      <c r="A28" s="5" t="s">
        <v>75</v>
      </c>
      <c r="B28" s="5" t="s">
        <v>561</v>
      </c>
      <c r="C28" s="5" t="s">
        <v>44</v>
      </c>
      <c r="D28" s="5" t="s">
        <v>62</v>
      </c>
      <c r="E28" s="5" t="s">
        <v>562</v>
      </c>
      <c r="F28" s="5">
        <v>5</v>
      </c>
      <c r="G28" s="5">
        <v>700</v>
      </c>
      <c r="H28" s="5" t="s">
        <v>34</v>
      </c>
    </row>
    <row r="29" spans="1:8" x14ac:dyDescent="0.3">
      <c r="A29" s="5" t="s">
        <v>76</v>
      </c>
      <c r="B29" s="6">
        <v>46093</v>
      </c>
      <c r="C29" s="5" t="s">
        <v>44</v>
      </c>
      <c r="D29" s="5" t="s">
        <v>62</v>
      </c>
      <c r="E29" s="5" t="s">
        <v>41</v>
      </c>
      <c r="F29" s="5">
        <v>5</v>
      </c>
      <c r="G29" s="5">
        <v>3500</v>
      </c>
      <c r="H29" s="5" t="s">
        <v>34</v>
      </c>
    </row>
    <row r="30" spans="1:8" x14ac:dyDescent="0.3">
      <c r="A30" s="5" t="s">
        <v>77</v>
      </c>
      <c r="B30" s="5" t="s">
        <v>563</v>
      </c>
      <c r="C30" s="5" t="s">
        <v>564</v>
      </c>
      <c r="D30" s="5" t="s">
        <v>21</v>
      </c>
      <c r="E30" s="5" t="s">
        <v>565</v>
      </c>
      <c r="F30" s="5">
        <v>5</v>
      </c>
      <c r="G30" s="5" t="s">
        <v>522</v>
      </c>
      <c r="H30" s="5" t="s">
        <v>34</v>
      </c>
    </row>
    <row r="31" spans="1:8" x14ac:dyDescent="0.3">
      <c r="A31" s="5" t="s">
        <v>78</v>
      </c>
      <c r="B31" s="5" t="s">
        <v>566</v>
      </c>
      <c r="C31" s="5" t="s">
        <v>536</v>
      </c>
      <c r="D31" s="5" t="s">
        <v>32</v>
      </c>
      <c r="E31" s="5" t="s">
        <v>567</v>
      </c>
      <c r="F31" s="5"/>
      <c r="G31" s="5" t="s">
        <v>568</v>
      </c>
      <c r="H31" s="5" t="s">
        <v>569</v>
      </c>
    </row>
    <row r="32" spans="1:8" x14ac:dyDescent="0.3">
      <c r="A32" s="5" t="s">
        <v>79</v>
      </c>
      <c r="B32" s="6">
        <v>46025</v>
      </c>
      <c r="C32" s="5" t="s">
        <v>570</v>
      </c>
      <c r="D32" s="5" t="s">
        <v>45</v>
      </c>
      <c r="E32" s="5" t="s">
        <v>571</v>
      </c>
      <c r="F32" s="5">
        <v>5</v>
      </c>
      <c r="G32" s="5" t="s">
        <v>572</v>
      </c>
      <c r="H32" s="5" t="s">
        <v>30</v>
      </c>
    </row>
    <row r="33" spans="1:8" x14ac:dyDescent="0.3">
      <c r="A33" s="5" t="s">
        <v>80</v>
      </c>
      <c r="B33" s="6">
        <v>46200</v>
      </c>
      <c r="C33" s="5" t="s">
        <v>570</v>
      </c>
      <c r="D33" s="5" t="s">
        <v>62</v>
      </c>
      <c r="E33" s="5" t="s">
        <v>573</v>
      </c>
      <c r="F33" s="5"/>
      <c r="G33" s="5">
        <v>400</v>
      </c>
      <c r="H33" s="5" t="s">
        <v>513</v>
      </c>
    </row>
    <row r="34" spans="1:8" x14ac:dyDescent="0.3">
      <c r="A34" s="5" t="s">
        <v>81</v>
      </c>
      <c r="B34" s="6">
        <v>46076</v>
      </c>
      <c r="C34" s="5" t="s">
        <v>530</v>
      </c>
      <c r="D34" s="5" t="s">
        <v>45</v>
      </c>
      <c r="E34" s="5" t="s">
        <v>22</v>
      </c>
      <c r="F34" s="5">
        <v>5</v>
      </c>
      <c r="G34" s="5" t="s">
        <v>522</v>
      </c>
      <c r="H34" s="5" t="s">
        <v>569</v>
      </c>
    </row>
    <row r="35" spans="1:8" x14ac:dyDescent="0.3">
      <c r="A35" s="5" t="s">
        <v>82</v>
      </c>
      <c r="B35" s="5" t="s">
        <v>574</v>
      </c>
      <c r="C35" s="5" t="s">
        <v>575</v>
      </c>
      <c r="D35" s="5" t="s">
        <v>21</v>
      </c>
      <c r="E35" s="5" t="s">
        <v>22</v>
      </c>
      <c r="F35" s="5">
        <v>2</v>
      </c>
      <c r="G35" s="5">
        <v>250</v>
      </c>
      <c r="H35" s="5" t="s">
        <v>24</v>
      </c>
    </row>
    <row r="36" spans="1:8" x14ac:dyDescent="0.3">
      <c r="A36" s="5" t="s">
        <v>83</v>
      </c>
      <c r="B36" s="5" t="s">
        <v>576</v>
      </c>
      <c r="C36" s="5" t="s">
        <v>575</v>
      </c>
      <c r="D36" s="5" t="s">
        <v>21</v>
      </c>
      <c r="E36" s="5" t="s">
        <v>552</v>
      </c>
      <c r="F36" s="5">
        <v>3</v>
      </c>
      <c r="G36" s="5" t="s">
        <v>553</v>
      </c>
      <c r="H36" s="5" t="s">
        <v>34</v>
      </c>
    </row>
    <row r="37" spans="1:8" x14ac:dyDescent="0.3">
      <c r="A37" s="5" t="s">
        <v>84</v>
      </c>
      <c r="B37" s="6">
        <v>46119</v>
      </c>
      <c r="C37" s="5" t="s">
        <v>542</v>
      </c>
      <c r="D37" s="5" t="s">
        <v>32</v>
      </c>
      <c r="E37" s="5" t="s">
        <v>577</v>
      </c>
      <c r="F37" s="5">
        <v>5</v>
      </c>
      <c r="G37" s="5">
        <v>700</v>
      </c>
      <c r="H37" s="5" t="s">
        <v>34</v>
      </c>
    </row>
    <row r="38" spans="1:8" x14ac:dyDescent="0.3">
      <c r="A38" s="5" t="s">
        <v>85</v>
      </c>
      <c r="B38" s="6">
        <v>46120</v>
      </c>
      <c r="C38" s="5" t="s">
        <v>530</v>
      </c>
      <c r="D38" s="5" t="s">
        <v>45</v>
      </c>
      <c r="E38" s="5" t="s">
        <v>73</v>
      </c>
      <c r="F38" s="5">
        <v>5</v>
      </c>
      <c r="G38" s="5">
        <v>900</v>
      </c>
      <c r="H38" s="5" t="s">
        <v>508</v>
      </c>
    </row>
    <row r="39" spans="1:8" x14ac:dyDescent="0.3">
      <c r="A39" s="5" t="s">
        <v>86</v>
      </c>
      <c r="B39" s="5" t="s">
        <v>578</v>
      </c>
      <c r="C39" s="5" t="s">
        <v>528</v>
      </c>
      <c r="D39" s="5" t="s">
        <v>27</v>
      </c>
      <c r="E39" s="5" t="s">
        <v>579</v>
      </c>
      <c r="F39" s="5">
        <v>2</v>
      </c>
      <c r="G39" s="5">
        <v>1500</v>
      </c>
      <c r="H39" s="5" t="s">
        <v>30</v>
      </c>
    </row>
    <row r="40" spans="1:8" x14ac:dyDescent="0.3">
      <c r="A40" s="5" t="s">
        <v>88</v>
      </c>
      <c r="B40" s="5" t="s">
        <v>580</v>
      </c>
      <c r="C40" s="5" t="s">
        <v>506</v>
      </c>
      <c r="D40" s="5" t="s">
        <v>38</v>
      </c>
      <c r="E40" s="5" t="s">
        <v>581</v>
      </c>
      <c r="F40" s="5">
        <v>5</v>
      </c>
      <c r="G40" s="5">
        <v>1200</v>
      </c>
      <c r="H40" s="5" t="s">
        <v>34</v>
      </c>
    </row>
    <row r="41" spans="1:8" x14ac:dyDescent="0.3">
      <c r="A41" s="5" t="s">
        <v>89</v>
      </c>
      <c r="B41" s="5" t="s">
        <v>582</v>
      </c>
      <c r="C41" s="5" t="s">
        <v>44</v>
      </c>
      <c r="D41" s="5" t="s">
        <v>45</v>
      </c>
      <c r="E41" s="5" t="s">
        <v>577</v>
      </c>
      <c r="F41" s="5">
        <v>5</v>
      </c>
      <c r="G41" s="5">
        <v>700</v>
      </c>
      <c r="H41" s="5" t="s">
        <v>569</v>
      </c>
    </row>
    <row r="42" spans="1:8" x14ac:dyDescent="0.3">
      <c r="A42" s="5" t="s">
        <v>90</v>
      </c>
      <c r="B42" s="5" t="s">
        <v>583</v>
      </c>
      <c r="C42" s="5" t="s">
        <v>20</v>
      </c>
      <c r="D42" s="5" t="s">
        <v>21</v>
      </c>
      <c r="E42" s="5" t="s">
        <v>584</v>
      </c>
      <c r="F42" s="5">
        <v>3</v>
      </c>
      <c r="G42" s="5">
        <v>500</v>
      </c>
      <c r="H42" s="5" t="s">
        <v>585</v>
      </c>
    </row>
    <row r="43" spans="1:8" x14ac:dyDescent="0.3">
      <c r="A43" s="5" t="s">
        <v>91</v>
      </c>
      <c r="B43" s="5" t="s">
        <v>586</v>
      </c>
      <c r="C43" s="5" t="s">
        <v>536</v>
      </c>
      <c r="D43" s="5" t="s">
        <v>32</v>
      </c>
      <c r="E43" s="5" t="s">
        <v>587</v>
      </c>
      <c r="F43" s="5">
        <v>3</v>
      </c>
      <c r="G43" s="5">
        <v>800</v>
      </c>
      <c r="H43" s="5" t="s">
        <v>569</v>
      </c>
    </row>
    <row r="44" spans="1:8" x14ac:dyDescent="0.3">
      <c r="A44" s="5" t="s">
        <v>92</v>
      </c>
      <c r="B44" s="5" t="s">
        <v>588</v>
      </c>
      <c r="C44" s="5" t="s">
        <v>570</v>
      </c>
      <c r="D44" s="5" t="s">
        <v>45</v>
      </c>
      <c r="E44" s="5" t="s">
        <v>28</v>
      </c>
      <c r="F44" s="5">
        <v>3</v>
      </c>
      <c r="G44" s="5">
        <v>400</v>
      </c>
      <c r="H44" s="5" t="s">
        <v>24</v>
      </c>
    </row>
    <row r="45" spans="1:8" x14ac:dyDescent="0.3">
      <c r="A45" s="5" t="s">
        <v>93</v>
      </c>
      <c r="B45" s="5" t="s">
        <v>589</v>
      </c>
      <c r="C45" s="5" t="s">
        <v>536</v>
      </c>
      <c r="D45" s="5" t="s">
        <v>21</v>
      </c>
      <c r="E45" s="5" t="s">
        <v>590</v>
      </c>
      <c r="F45" s="5">
        <v>2</v>
      </c>
      <c r="G45" s="5">
        <v>300</v>
      </c>
      <c r="H45" s="5" t="s">
        <v>30</v>
      </c>
    </row>
    <row r="46" spans="1:8" x14ac:dyDescent="0.3">
      <c r="A46" s="5" t="s">
        <v>94</v>
      </c>
      <c r="B46" s="5" t="s">
        <v>591</v>
      </c>
      <c r="C46" s="5" t="s">
        <v>511</v>
      </c>
      <c r="D46" s="5" t="s">
        <v>45</v>
      </c>
      <c r="E46" s="5" t="s">
        <v>54</v>
      </c>
      <c r="F46" s="5">
        <v>1</v>
      </c>
      <c r="G46" s="5">
        <v>700</v>
      </c>
      <c r="H46" s="5" t="s">
        <v>24</v>
      </c>
    </row>
    <row r="47" spans="1:8" x14ac:dyDescent="0.3">
      <c r="A47" s="5" t="s">
        <v>95</v>
      </c>
      <c r="B47" s="5" t="s">
        <v>592</v>
      </c>
      <c r="C47" s="5" t="s">
        <v>530</v>
      </c>
      <c r="D47" s="5" t="s">
        <v>62</v>
      </c>
      <c r="E47" s="5" t="s">
        <v>36</v>
      </c>
      <c r="F47" s="5">
        <v>3</v>
      </c>
      <c r="G47" s="5" t="s">
        <v>593</v>
      </c>
      <c r="H47" s="5" t="s">
        <v>34</v>
      </c>
    </row>
    <row r="48" spans="1:8" x14ac:dyDescent="0.3">
      <c r="A48" s="5" t="s">
        <v>96</v>
      </c>
      <c r="B48" s="6">
        <v>46176</v>
      </c>
      <c r="C48" s="5" t="s">
        <v>20</v>
      </c>
      <c r="D48" s="5" t="s">
        <v>21</v>
      </c>
      <c r="E48" s="5" t="s">
        <v>594</v>
      </c>
      <c r="F48" s="5">
        <v>5</v>
      </c>
      <c r="G48" s="5">
        <v>400</v>
      </c>
      <c r="H48" s="5" t="s">
        <v>24</v>
      </c>
    </row>
    <row r="49" spans="1:8" x14ac:dyDescent="0.3">
      <c r="A49" s="5" t="s">
        <v>97</v>
      </c>
      <c r="B49" s="6">
        <v>46113</v>
      </c>
      <c r="C49" s="5" t="s">
        <v>528</v>
      </c>
      <c r="D49" s="5" t="s">
        <v>27</v>
      </c>
      <c r="E49" s="5" t="s">
        <v>46</v>
      </c>
      <c r="F49" s="5">
        <v>5</v>
      </c>
      <c r="G49" s="5">
        <v>300</v>
      </c>
      <c r="H49" s="5" t="s">
        <v>508</v>
      </c>
    </row>
    <row r="50" spans="1:8" x14ac:dyDescent="0.3">
      <c r="A50" s="5" t="s">
        <v>98</v>
      </c>
      <c r="B50" s="6">
        <v>46155</v>
      </c>
      <c r="C50" s="5" t="s">
        <v>511</v>
      </c>
      <c r="D50" s="5" t="s">
        <v>45</v>
      </c>
      <c r="E50" s="5" t="s">
        <v>512</v>
      </c>
      <c r="F50" s="5">
        <v>3</v>
      </c>
      <c r="G50" s="5">
        <v>1000</v>
      </c>
      <c r="H50" s="5" t="s">
        <v>30</v>
      </c>
    </row>
    <row r="51" spans="1:8" x14ac:dyDescent="0.3">
      <c r="A51" s="5" t="s">
        <v>99</v>
      </c>
      <c r="B51" s="5" t="s">
        <v>595</v>
      </c>
      <c r="C51" s="5" t="s">
        <v>564</v>
      </c>
      <c r="D51" s="5" t="s">
        <v>32</v>
      </c>
      <c r="E51" s="5" t="s">
        <v>571</v>
      </c>
      <c r="F51" s="5">
        <v>2</v>
      </c>
      <c r="G51" s="5">
        <v>1500</v>
      </c>
      <c r="H51" s="5" t="s">
        <v>518</v>
      </c>
    </row>
    <row r="52" spans="1:8" x14ac:dyDescent="0.3">
      <c r="A52" s="5" t="s">
        <v>100</v>
      </c>
      <c r="B52" s="6">
        <v>46144</v>
      </c>
      <c r="C52" s="5" t="s">
        <v>26</v>
      </c>
      <c r="D52" s="5" t="s">
        <v>38</v>
      </c>
      <c r="E52" s="5" t="s">
        <v>596</v>
      </c>
      <c r="F52" s="5">
        <v>5</v>
      </c>
      <c r="G52" s="5">
        <v>900</v>
      </c>
      <c r="H52" s="5" t="s">
        <v>30</v>
      </c>
    </row>
    <row r="53" spans="1:8" x14ac:dyDescent="0.3">
      <c r="A53" s="5" t="s">
        <v>101</v>
      </c>
      <c r="B53" s="6">
        <v>46188</v>
      </c>
      <c r="C53" s="5" t="s">
        <v>26</v>
      </c>
      <c r="D53" s="5" t="s">
        <v>27</v>
      </c>
      <c r="E53" s="5" t="s">
        <v>545</v>
      </c>
      <c r="F53" s="5">
        <v>2</v>
      </c>
      <c r="G53" s="5">
        <v>600</v>
      </c>
      <c r="H53" s="5" t="s">
        <v>24</v>
      </c>
    </row>
    <row r="54" spans="1:8" x14ac:dyDescent="0.3">
      <c r="A54" s="5" t="s">
        <v>102</v>
      </c>
      <c r="B54" s="5" t="s">
        <v>597</v>
      </c>
      <c r="C54" s="5" t="s">
        <v>516</v>
      </c>
      <c r="D54" s="5" t="s">
        <v>38</v>
      </c>
      <c r="E54" s="5" t="s">
        <v>567</v>
      </c>
      <c r="F54" s="5">
        <v>2</v>
      </c>
      <c r="G54" s="5">
        <v>700</v>
      </c>
      <c r="H54" s="5" t="s">
        <v>34</v>
      </c>
    </row>
    <row r="55" spans="1:8" x14ac:dyDescent="0.3">
      <c r="A55" s="5" t="s">
        <v>103</v>
      </c>
      <c r="B55" s="5" t="s">
        <v>598</v>
      </c>
      <c r="C55" s="5" t="s">
        <v>44</v>
      </c>
      <c r="D55" s="5" t="s">
        <v>62</v>
      </c>
      <c r="E55" s="5" t="s">
        <v>51</v>
      </c>
      <c r="F55" s="5">
        <v>1</v>
      </c>
      <c r="G55" s="5">
        <v>500</v>
      </c>
      <c r="H55" s="5" t="s">
        <v>24</v>
      </c>
    </row>
    <row r="56" spans="1:8" x14ac:dyDescent="0.3">
      <c r="A56" s="5" t="s">
        <v>104</v>
      </c>
      <c r="B56" s="5" t="s">
        <v>520</v>
      </c>
      <c r="C56" s="5" t="s">
        <v>26</v>
      </c>
      <c r="D56" s="5" t="s">
        <v>38</v>
      </c>
      <c r="E56" s="5" t="s">
        <v>599</v>
      </c>
      <c r="F56" s="5">
        <v>2</v>
      </c>
      <c r="G56" s="5" t="s">
        <v>535</v>
      </c>
      <c r="H56" s="5" t="s">
        <v>508</v>
      </c>
    </row>
    <row r="57" spans="1:8" x14ac:dyDescent="0.3">
      <c r="A57" s="5" t="s">
        <v>105</v>
      </c>
      <c r="B57" s="5" t="s">
        <v>600</v>
      </c>
      <c r="C57" s="5" t="s">
        <v>542</v>
      </c>
      <c r="D57" s="5" t="s">
        <v>32</v>
      </c>
      <c r="E57" s="5" t="s">
        <v>59</v>
      </c>
      <c r="F57" s="5">
        <v>3</v>
      </c>
      <c r="G57" s="5" t="s">
        <v>535</v>
      </c>
      <c r="H57" s="5" t="s">
        <v>518</v>
      </c>
    </row>
    <row r="58" spans="1:8" x14ac:dyDescent="0.3">
      <c r="A58" s="5" t="s">
        <v>106</v>
      </c>
      <c r="B58" s="6">
        <v>46057</v>
      </c>
      <c r="C58" s="5" t="s">
        <v>20</v>
      </c>
      <c r="D58" s="5" t="s">
        <v>32</v>
      </c>
      <c r="E58" s="5" t="s">
        <v>601</v>
      </c>
      <c r="F58" s="5">
        <v>3</v>
      </c>
      <c r="G58" s="5" t="s">
        <v>549</v>
      </c>
      <c r="H58" s="5" t="s">
        <v>569</v>
      </c>
    </row>
    <row r="59" spans="1:8" x14ac:dyDescent="0.3">
      <c r="A59" s="5" t="s">
        <v>107</v>
      </c>
      <c r="B59" s="6">
        <v>46058</v>
      </c>
      <c r="C59" s="5" t="s">
        <v>570</v>
      </c>
      <c r="D59" s="5" t="s">
        <v>62</v>
      </c>
      <c r="E59" s="5" t="s">
        <v>602</v>
      </c>
      <c r="F59" s="5">
        <v>2</v>
      </c>
      <c r="G59" s="5" t="s">
        <v>603</v>
      </c>
      <c r="H59" s="5" t="s">
        <v>30</v>
      </c>
    </row>
    <row r="60" spans="1:8" x14ac:dyDescent="0.3">
      <c r="A60" s="5" t="s">
        <v>108</v>
      </c>
      <c r="B60" s="6">
        <v>46058</v>
      </c>
      <c r="C60" s="5" t="s">
        <v>26</v>
      </c>
      <c r="D60" s="5" t="s">
        <v>38</v>
      </c>
      <c r="E60" s="5" t="s">
        <v>537</v>
      </c>
      <c r="F60" s="5">
        <v>5</v>
      </c>
      <c r="G60" s="5" t="s">
        <v>547</v>
      </c>
      <c r="H60" s="5" t="s">
        <v>24</v>
      </c>
    </row>
    <row r="61" spans="1:8" x14ac:dyDescent="0.3">
      <c r="A61" s="5" t="s">
        <v>109</v>
      </c>
      <c r="B61" s="5" t="s">
        <v>604</v>
      </c>
      <c r="C61" s="5" t="s">
        <v>570</v>
      </c>
      <c r="D61" s="5" t="s">
        <v>62</v>
      </c>
      <c r="E61" s="5" t="s">
        <v>605</v>
      </c>
      <c r="F61" s="5">
        <v>5</v>
      </c>
      <c r="G61" s="5">
        <v>500</v>
      </c>
      <c r="H61" s="5" t="s">
        <v>30</v>
      </c>
    </row>
    <row r="62" spans="1:8" x14ac:dyDescent="0.3">
      <c r="A62" s="5" t="s">
        <v>110</v>
      </c>
      <c r="B62" s="5" t="s">
        <v>554</v>
      </c>
      <c r="C62" s="5" t="s">
        <v>564</v>
      </c>
      <c r="D62" s="5" t="s">
        <v>32</v>
      </c>
      <c r="E62" s="5" t="s">
        <v>28</v>
      </c>
      <c r="F62" s="5">
        <v>2</v>
      </c>
      <c r="G62" s="5" t="s">
        <v>606</v>
      </c>
      <c r="H62" s="5" t="s">
        <v>558</v>
      </c>
    </row>
    <row r="63" spans="1:8" x14ac:dyDescent="0.3">
      <c r="A63" s="5" t="s">
        <v>111</v>
      </c>
      <c r="B63" s="6">
        <v>46051</v>
      </c>
      <c r="C63" s="5" t="s">
        <v>44</v>
      </c>
      <c r="D63" s="5" t="s">
        <v>45</v>
      </c>
      <c r="E63" s="5" t="s">
        <v>543</v>
      </c>
      <c r="F63" s="5">
        <v>3</v>
      </c>
      <c r="G63" s="5" t="s">
        <v>533</v>
      </c>
      <c r="H63" s="5" t="s">
        <v>24</v>
      </c>
    </row>
    <row r="64" spans="1:8" x14ac:dyDescent="0.3">
      <c r="A64" s="5" t="s">
        <v>112</v>
      </c>
      <c r="B64" s="6">
        <v>46190</v>
      </c>
      <c r="C64" s="5" t="s">
        <v>506</v>
      </c>
      <c r="D64" s="5" t="s">
        <v>38</v>
      </c>
      <c r="E64" s="5" t="s">
        <v>537</v>
      </c>
      <c r="F64" s="5">
        <v>1</v>
      </c>
      <c r="G64" s="5" t="s">
        <v>547</v>
      </c>
      <c r="H64" s="5" t="s">
        <v>30</v>
      </c>
    </row>
    <row r="65" spans="1:8" x14ac:dyDescent="0.3">
      <c r="A65" s="5" t="s">
        <v>113</v>
      </c>
      <c r="B65" s="6">
        <v>46083</v>
      </c>
      <c r="C65" s="5" t="s">
        <v>525</v>
      </c>
      <c r="D65" s="5" t="s">
        <v>38</v>
      </c>
      <c r="E65" s="5" t="s">
        <v>66</v>
      </c>
      <c r="F65" s="5">
        <v>5</v>
      </c>
      <c r="G65" s="5">
        <v>1200</v>
      </c>
      <c r="H65" s="5" t="s">
        <v>34</v>
      </c>
    </row>
    <row r="66" spans="1:8" x14ac:dyDescent="0.3">
      <c r="A66" s="5" t="s">
        <v>114</v>
      </c>
      <c r="B66" s="6">
        <v>46159</v>
      </c>
      <c r="C66" s="5" t="s">
        <v>542</v>
      </c>
      <c r="D66" s="5" t="s">
        <v>32</v>
      </c>
      <c r="E66" s="5" t="s">
        <v>599</v>
      </c>
      <c r="F66" s="5">
        <v>3</v>
      </c>
      <c r="G66" s="5">
        <v>2500</v>
      </c>
      <c r="H66" s="5" t="s">
        <v>585</v>
      </c>
    </row>
    <row r="67" spans="1:8" x14ac:dyDescent="0.3">
      <c r="A67" s="5" t="s">
        <v>115</v>
      </c>
      <c r="B67" s="6">
        <v>46093</v>
      </c>
      <c r="C67" s="5" t="s">
        <v>44</v>
      </c>
      <c r="D67" s="5" t="s">
        <v>45</v>
      </c>
      <c r="E67" s="5" t="s">
        <v>596</v>
      </c>
      <c r="F67" s="5">
        <v>2</v>
      </c>
      <c r="G67" s="5" t="s">
        <v>607</v>
      </c>
      <c r="H67" s="5" t="s">
        <v>569</v>
      </c>
    </row>
    <row r="68" spans="1:8" x14ac:dyDescent="0.3">
      <c r="A68" s="5" t="s">
        <v>116</v>
      </c>
      <c r="B68" s="5" t="s">
        <v>559</v>
      </c>
      <c r="C68" s="5" t="s">
        <v>575</v>
      </c>
      <c r="D68" s="5" t="s">
        <v>21</v>
      </c>
      <c r="E68" s="5" t="s">
        <v>51</v>
      </c>
      <c r="F68" s="5">
        <v>5</v>
      </c>
      <c r="G68" s="5" t="s">
        <v>603</v>
      </c>
      <c r="H68" s="5" t="s">
        <v>513</v>
      </c>
    </row>
    <row r="69" spans="1:8" x14ac:dyDescent="0.3">
      <c r="A69" s="5" t="s">
        <v>117</v>
      </c>
      <c r="B69" s="5" t="s">
        <v>608</v>
      </c>
      <c r="C69" s="5" t="s">
        <v>20</v>
      </c>
      <c r="D69" s="5" t="s">
        <v>21</v>
      </c>
      <c r="E69" s="5" t="s">
        <v>534</v>
      </c>
      <c r="F69" s="5">
        <v>1</v>
      </c>
      <c r="G69" s="5">
        <v>2500</v>
      </c>
      <c r="H69" s="5" t="s">
        <v>24</v>
      </c>
    </row>
    <row r="70" spans="1:8" x14ac:dyDescent="0.3">
      <c r="A70" s="5" t="s">
        <v>118</v>
      </c>
      <c r="B70" s="6">
        <v>46132</v>
      </c>
      <c r="C70" s="5" t="s">
        <v>506</v>
      </c>
      <c r="D70" s="5" t="s">
        <v>38</v>
      </c>
      <c r="E70" s="5" t="s">
        <v>609</v>
      </c>
      <c r="F70" s="5">
        <v>3</v>
      </c>
      <c r="G70" s="5" t="s">
        <v>606</v>
      </c>
      <c r="H70" s="5" t="s">
        <v>585</v>
      </c>
    </row>
    <row r="71" spans="1:8" x14ac:dyDescent="0.3">
      <c r="A71" s="5" t="s">
        <v>119</v>
      </c>
      <c r="B71" s="5" t="s">
        <v>527</v>
      </c>
      <c r="C71" s="5" t="s">
        <v>26</v>
      </c>
      <c r="D71" s="5" t="s">
        <v>27</v>
      </c>
      <c r="E71" s="5" t="s">
        <v>87</v>
      </c>
      <c r="F71" s="5">
        <v>5</v>
      </c>
      <c r="G71" s="5" t="s">
        <v>529</v>
      </c>
      <c r="H71" s="5" t="s">
        <v>34</v>
      </c>
    </row>
    <row r="72" spans="1:8" x14ac:dyDescent="0.3">
      <c r="A72" s="5" t="s">
        <v>120</v>
      </c>
      <c r="B72" s="5" t="s">
        <v>610</v>
      </c>
      <c r="C72" s="5" t="s">
        <v>506</v>
      </c>
      <c r="D72" s="5" t="s">
        <v>27</v>
      </c>
      <c r="E72" s="5" t="s">
        <v>33</v>
      </c>
      <c r="F72" s="5">
        <v>3</v>
      </c>
      <c r="G72" s="5">
        <v>600</v>
      </c>
      <c r="H72" s="5" t="s">
        <v>34</v>
      </c>
    </row>
    <row r="73" spans="1:8" x14ac:dyDescent="0.3">
      <c r="A73" s="5" t="s">
        <v>121</v>
      </c>
      <c r="B73" s="5" t="s">
        <v>588</v>
      </c>
      <c r="C73" s="5" t="s">
        <v>516</v>
      </c>
      <c r="D73" s="5" t="s">
        <v>27</v>
      </c>
      <c r="E73" s="5" t="s">
        <v>51</v>
      </c>
      <c r="F73" s="5"/>
      <c r="G73" s="5">
        <v>500</v>
      </c>
      <c r="H73" s="5" t="s">
        <v>24</v>
      </c>
    </row>
    <row r="74" spans="1:8" x14ac:dyDescent="0.3">
      <c r="A74" s="5" t="s">
        <v>122</v>
      </c>
      <c r="B74" s="6">
        <v>46145</v>
      </c>
      <c r="C74" s="5" t="s">
        <v>516</v>
      </c>
      <c r="D74" s="5" t="s">
        <v>27</v>
      </c>
      <c r="E74" s="5" t="s">
        <v>611</v>
      </c>
      <c r="F74" s="5">
        <v>2</v>
      </c>
      <c r="G74" s="5">
        <v>300</v>
      </c>
      <c r="H74" s="5" t="s">
        <v>523</v>
      </c>
    </row>
    <row r="75" spans="1:8" x14ac:dyDescent="0.3">
      <c r="A75" s="5" t="s">
        <v>123</v>
      </c>
      <c r="B75" s="6">
        <v>46131</v>
      </c>
      <c r="C75" s="5" t="s">
        <v>511</v>
      </c>
      <c r="D75" s="5" t="s">
        <v>45</v>
      </c>
      <c r="E75" s="5" t="s">
        <v>57</v>
      </c>
      <c r="F75" s="5">
        <v>1</v>
      </c>
      <c r="G75" s="5">
        <v>1000</v>
      </c>
      <c r="H75" s="5" t="s">
        <v>513</v>
      </c>
    </row>
    <row r="76" spans="1:8" x14ac:dyDescent="0.3">
      <c r="A76" s="5" t="s">
        <v>124</v>
      </c>
      <c r="B76" s="6">
        <v>46099</v>
      </c>
      <c r="C76" s="5" t="s">
        <v>516</v>
      </c>
      <c r="D76" s="5" t="s">
        <v>38</v>
      </c>
      <c r="E76" s="5" t="s">
        <v>22</v>
      </c>
      <c r="F76" s="5"/>
      <c r="G76" s="5" t="s">
        <v>522</v>
      </c>
      <c r="H76" s="5" t="s">
        <v>24</v>
      </c>
    </row>
    <row r="77" spans="1:8" x14ac:dyDescent="0.3">
      <c r="A77" s="5" t="s">
        <v>125</v>
      </c>
      <c r="B77" s="5" t="s">
        <v>588</v>
      </c>
      <c r="C77" s="5" t="s">
        <v>516</v>
      </c>
      <c r="D77" s="5" t="s">
        <v>38</v>
      </c>
      <c r="E77" s="5" t="s">
        <v>59</v>
      </c>
      <c r="F77" s="5">
        <v>2</v>
      </c>
      <c r="G77" s="5" t="s">
        <v>535</v>
      </c>
      <c r="H77" s="5" t="s">
        <v>558</v>
      </c>
    </row>
    <row r="78" spans="1:8" x14ac:dyDescent="0.3">
      <c r="A78" s="5" t="s">
        <v>126</v>
      </c>
      <c r="B78" s="5" t="s">
        <v>612</v>
      </c>
      <c r="C78" s="5" t="s">
        <v>516</v>
      </c>
      <c r="D78" s="5" t="s">
        <v>27</v>
      </c>
      <c r="E78" s="5" t="s">
        <v>565</v>
      </c>
      <c r="F78" s="5">
        <v>1</v>
      </c>
      <c r="G78" s="5" t="s">
        <v>553</v>
      </c>
      <c r="H78" s="5" t="s">
        <v>523</v>
      </c>
    </row>
    <row r="79" spans="1:8" x14ac:dyDescent="0.3">
      <c r="A79" s="5" t="s">
        <v>127</v>
      </c>
      <c r="B79" s="6">
        <v>46086</v>
      </c>
      <c r="C79" s="5" t="s">
        <v>20</v>
      </c>
      <c r="D79" s="5" t="s">
        <v>32</v>
      </c>
      <c r="E79" s="5" t="s">
        <v>601</v>
      </c>
      <c r="F79" s="5">
        <v>3</v>
      </c>
      <c r="G79" s="5" t="s">
        <v>549</v>
      </c>
      <c r="H79" s="5" t="s">
        <v>24</v>
      </c>
    </row>
    <row r="80" spans="1:8" x14ac:dyDescent="0.3">
      <c r="A80" s="5" t="s">
        <v>128</v>
      </c>
      <c r="B80" s="6">
        <v>46123</v>
      </c>
      <c r="C80" s="5" t="s">
        <v>536</v>
      </c>
      <c r="D80" s="5" t="s">
        <v>32</v>
      </c>
      <c r="E80" s="5" t="s">
        <v>22</v>
      </c>
      <c r="F80" s="5">
        <v>2</v>
      </c>
      <c r="G80" s="5" t="s">
        <v>553</v>
      </c>
      <c r="H80" s="5" t="s">
        <v>518</v>
      </c>
    </row>
    <row r="81" spans="1:8" x14ac:dyDescent="0.3">
      <c r="A81" s="5" t="s">
        <v>129</v>
      </c>
      <c r="B81" s="6">
        <v>46026</v>
      </c>
      <c r="C81" s="5" t="s">
        <v>536</v>
      </c>
      <c r="D81" s="5" t="s">
        <v>21</v>
      </c>
      <c r="E81" s="5" t="s">
        <v>587</v>
      </c>
      <c r="F81" s="5"/>
      <c r="G81" s="5" t="s">
        <v>593</v>
      </c>
      <c r="H81" s="5" t="s">
        <v>24</v>
      </c>
    </row>
    <row r="82" spans="1:8" x14ac:dyDescent="0.3">
      <c r="A82" s="5" t="s">
        <v>40</v>
      </c>
      <c r="B82" s="5" t="s">
        <v>527</v>
      </c>
      <c r="C82" s="5" t="s">
        <v>528</v>
      </c>
      <c r="D82" s="5" t="s">
        <v>38</v>
      </c>
      <c r="E82" s="5" t="s">
        <v>87</v>
      </c>
      <c r="F82" s="5"/>
      <c r="G82" s="5" t="s">
        <v>529</v>
      </c>
      <c r="H82" s="5" t="s">
        <v>34</v>
      </c>
    </row>
    <row r="83" spans="1:8" x14ac:dyDescent="0.3">
      <c r="A83" s="5" t="s">
        <v>67</v>
      </c>
      <c r="B83" s="5" t="s">
        <v>550</v>
      </c>
      <c r="C83" s="5" t="s">
        <v>511</v>
      </c>
      <c r="D83" s="5" t="s">
        <v>62</v>
      </c>
      <c r="E83" s="5" t="s">
        <v>507</v>
      </c>
      <c r="F83" s="5">
        <v>3</v>
      </c>
      <c r="G83" s="5">
        <v>250</v>
      </c>
      <c r="H83" s="5" t="s">
        <v>508</v>
      </c>
    </row>
    <row r="84" spans="1:8" x14ac:dyDescent="0.3">
      <c r="A84" s="5" t="s">
        <v>91</v>
      </c>
      <c r="B84" s="5" t="s">
        <v>586</v>
      </c>
      <c r="C84" s="5" t="s">
        <v>536</v>
      </c>
      <c r="D84" s="5" t="s">
        <v>32</v>
      </c>
      <c r="E84" s="5" t="s">
        <v>587</v>
      </c>
      <c r="F84" s="5">
        <v>3</v>
      </c>
      <c r="G84" s="5">
        <v>800</v>
      </c>
      <c r="H84" s="5" t="s">
        <v>569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1DF5-7204-4348-ADBB-EB90249A704D}">
  <dimension ref="A1:Z36"/>
  <sheetViews>
    <sheetView workbookViewId="0">
      <selection activeCell="B2" sqref="B2"/>
    </sheetView>
  </sheetViews>
  <sheetFormatPr baseColWidth="10" defaultRowHeight="14.4" x14ac:dyDescent="0.3"/>
  <cols>
    <col min="1" max="1" width="19.5546875" bestFit="1" customWidth="1"/>
    <col min="2" max="2" width="28.5546875" bestFit="1" customWidth="1"/>
    <col min="3" max="3" width="18.77734375" bestFit="1" customWidth="1"/>
    <col min="4" max="4" width="17.88671875" bestFit="1" customWidth="1"/>
    <col min="5" max="5" width="19.5546875" bestFit="1" customWidth="1"/>
    <col min="6" max="7" width="28.5546875" bestFit="1" customWidth="1"/>
    <col min="10" max="11" width="28.5546875" bestFit="1" customWidth="1"/>
    <col min="12" max="12" width="18.77734375" bestFit="1" customWidth="1"/>
    <col min="13" max="13" width="15.5546875" bestFit="1" customWidth="1"/>
    <col min="14" max="14" width="9.109375" bestFit="1" customWidth="1"/>
    <col min="15" max="15" width="16.33203125" bestFit="1" customWidth="1"/>
    <col min="16" max="16" width="15.5546875" bestFit="1" customWidth="1"/>
    <col min="17" max="17" width="12.88671875" bestFit="1" customWidth="1"/>
    <col min="18" max="18" width="18.109375" bestFit="1" customWidth="1"/>
    <col min="19" max="19" width="11.77734375" bestFit="1" customWidth="1"/>
    <col min="20" max="20" width="18.77734375" bestFit="1" customWidth="1"/>
    <col min="21" max="21" width="15.6640625" bestFit="1" customWidth="1"/>
    <col min="22" max="22" width="7.21875" bestFit="1" customWidth="1"/>
    <col min="23" max="23" width="15.21875" bestFit="1" customWidth="1"/>
    <col min="24" max="24" width="9.5546875" bestFit="1" customWidth="1"/>
    <col min="25" max="25" width="17.44140625" bestFit="1" customWidth="1"/>
    <col min="26" max="26" width="11.88671875" bestFit="1" customWidth="1"/>
    <col min="27" max="49" width="5.44140625" bestFit="1" customWidth="1"/>
    <col min="50" max="51" width="6.44140625" bestFit="1" customWidth="1"/>
    <col min="52" max="52" width="11.88671875" bestFit="1" customWidth="1"/>
  </cols>
  <sheetData>
    <row r="1" spans="1:26" x14ac:dyDescent="0.3">
      <c r="A1" s="12" t="s">
        <v>627</v>
      </c>
      <c r="B1" t="s">
        <v>635</v>
      </c>
      <c r="F1" s="12" t="s">
        <v>627</v>
      </c>
      <c r="G1" t="s">
        <v>635</v>
      </c>
    </row>
    <row r="2" spans="1:26" x14ac:dyDescent="0.3">
      <c r="A2" s="13" t="s">
        <v>628</v>
      </c>
      <c r="B2" s="14">
        <v>153300</v>
      </c>
      <c r="F2" s="13" t="s">
        <v>38</v>
      </c>
      <c r="G2" s="14">
        <v>184750</v>
      </c>
    </row>
    <row r="3" spans="1:26" x14ac:dyDescent="0.3">
      <c r="A3" s="13" t="s">
        <v>629</v>
      </c>
      <c r="B3" s="14">
        <v>150000</v>
      </c>
      <c r="F3" s="13" t="s">
        <v>21</v>
      </c>
      <c r="G3" s="14">
        <v>173600</v>
      </c>
    </row>
    <row r="4" spans="1:26" x14ac:dyDescent="0.3">
      <c r="A4" s="13" t="s">
        <v>630</v>
      </c>
      <c r="B4" s="14">
        <v>118500</v>
      </c>
      <c r="F4" s="13" t="s">
        <v>62</v>
      </c>
      <c r="G4" s="14">
        <v>172100</v>
      </c>
      <c r="J4" s="12" t="s">
        <v>635</v>
      </c>
      <c r="K4" s="12" t="s">
        <v>654</v>
      </c>
    </row>
    <row r="5" spans="1:26" x14ac:dyDescent="0.3">
      <c r="A5" s="13" t="s">
        <v>631</v>
      </c>
      <c r="B5" s="14">
        <v>200500</v>
      </c>
      <c r="F5" s="13" t="s">
        <v>27</v>
      </c>
      <c r="G5" s="14">
        <v>153100</v>
      </c>
      <c r="J5" s="12" t="s">
        <v>627</v>
      </c>
      <c r="K5" t="s">
        <v>22</v>
      </c>
      <c r="L5" t="s">
        <v>70</v>
      </c>
      <c r="M5" t="s">
        <v>33</v>
      </c>
      <c r="N5" t="s">
        <v>54</v>
      </c>
      <c r="O5" t="s">
        <v>51</v>
      </c>
      <c r="P5" t="s">
        <v>87</v>
      </c>
      <c r="Q5" t="s">
        <v>57</v>
      </c>
      <c r="R5" t="s">
        <v>59</v>
      </c>
      <c r="S5" t="s">
        <v>73</v>
      </c>
      <c r="T5" t="s">
        <v>39</v>
      </c>
      <c r="U5" t="s">
        <v>66</v>
      </c>
      <c r="V5" t="s">
        <v>41</v>
      </c>
      <c r="W5" t="s">
        <v>46</v>
      </c>
      <c r="X5" t="s">
        <v>36</v>
      </c>
      <c r="Y5" t="s">
        <v>28</v>
      </c>
      <c r="Z5" t="s">
        <v>634</v>
      </c>
    </row>
    <row r="6" spans="1:26" x14ac:dyDescent="0.3">
      <c r="A6" s="13" t="s">
        <v>632</v>
      </c>
      <c r="B6" s="14">
        <v>173750</v>
      </c>
      <c r="F6" s="13" t="s">
        <v>32</v>
      </c>
      <c r="G6" s="14">
        <v>152250</v>
      </c>
      <c r="J6" s="13" t="s">
        <v>44</v>
      </c>
      <c r="K6" s="16">
        <v>2.7078687480089202E-2</v>
      </c>
      <c r="L6" s="16">
        <v>1.9114367633004142E-2</v>
      </c>
      <c r="M6" s="16">
        <v>6.6900286715514498E-2</v>
      </c>
      <c r="N6" s="16">
        <v>8.9200382287352664E-2</v>
      </c>
      <c r="O6" s="16">
        <v>1.9114367633004142E-2</v>
      </c>
      <c r="P6" s="16">
        <v>0.10512902198152278</v>
      </c>
      <c r="Q6" s="16">
        <v>0.20707231602421153</v>
      </c>
      <c r="R6" s="16">
        <v>0.11150047785919083</v>
      </c>
      <c r="S6" s="16">
        <v>6.0210258043963044E-2</v>
      </c>
      <c r="T6" s="16">
        <v>3.4405861739407455E-2</v>
      </c>
      <c r="U6" s="16">
        <v>5.3520229372411597E-2</v>
      </c>
      <c r="V6" s="16">
        <v>5.5750238929595415E-2</v>
      </c>
      <c r="W6" s="16">
        <v>4.3963045555909526E-2</v>
      </c>
      <c r="X6" s="16">
        <v>8.4103217585218229E-2</v>
      </c>
      <c r="Y6" s="16">
        <v>2.2937241159604969E-2</v>
      </c>
      <c r="Z6" s="16">
        <v>1</v>
      </c>
    </row>
    <row r="7" spans="1:26" x14ac:dyDescent="0.3">
      <c r="A7" s="13" t="s">
        <v>633</v>
      </c>
      <c r="B7" s="14">
        <v>181550</v>
      </c>
      <c r="F7" s="13" t="s">
        <v>45</v>
      </c>
      <c r="G7" s="14">
        <v>141800</v>
      </c>
      <c r="J7" s="13" t="s">
        <v>20</v>
      </c>
      <c r="K7" s="16">
        <v>2.3016725487187355E-2</v>
      </c>
      <c r="L7" s="16">
        <v>1.7185821697099892E-2</v>
      </c>
      <c r="M7" s="16">
        <v>5.3398803130274668E-2</v>
      </c>
      <c r="N7" s="16">
        <v>0.14178302900107412</v>
      </c>
      <c r="O7" s="16">
        <v>7.0584624827374556E-2</v>
      </c>
      <c r="P7" s="16">
        <v>9.6670247046186902E-2</v>
      </c>
      <c r="Q7" s="16">
        <v>0.10127359214362437</v>
      </c>
      <c r="R7" s="16">
        <v>5.3705692803437163E-2</v>
      </c>
      <c r="S7" s="16">
        <v>4.143010587693724E-2</v>
      </c>
      <c r="T7" s="16">
        <v>4.2811109406168481E-2</v>
      </c>
      <c r="U7" s="16">
        <v>4.4192112935399722E-2</v>
      </c>
      <c r="V7" s="16">
        <v>0.1611170784103115</v>
      </c>
      <c r="W7" s="16">
        <v>5.5240141169249652E-3</v>
      </c>
      <c r="X7" s="16">
        <v>9.3294460641399415E-2</v>
      </c>
      <c r="Y7" s="16">
        <v>5.4012582476599659E-2</v>
      </c>
      <c r="Z7" s="16">
        <v>1</v>
      </c>
    </row>
    <row r="8" spans="1:26" x14ac:dyDescent="0.3">
      <c r="A8" s="13" t="s">
        <v>634</v>
      </c>
      <c r="B8" s="14">
        <v>977600</v>
      </c>
      <c r="F8" s="13" t="s">
        <v>634</v>
      </c>
      <c r="G8" s="14">
        <v>977600</v>
      </c>
      <c r="J8" s="13" t="s">
        <v>26</v>
      </c>
      <c r="K8" s="16">
        <v>1.4059493858221105E-2</v>
      </c>
      <c r="L8" s="16">
        <v>1.1839573775344088E-2</v>
      </c>
      <c r="M8" s="16">
        <v>3.551872132603226E-2</v>
      </c>
      <c r="N8" s="16">
        <v>6.0085836909871244E-2</v>
      </c>
      <c r="O8" s="16">
        <v>5.6237975432884418E-2</v>
      </c>
      <c r="P8" s="16">
        <v>5.3278081989048397E-2</v>
      </c>
      <c r="Q8" s="16">
        <v>7.6957229539736563E-2</v>
      </c>
      <c r="R8" s="16">
        <v>0.14059493858221103</v>
      </c>
      <c r="S8" s="16">
        <v>8.2581027083025005E-2</v>
      </c>
      <c r="T8" s="16">
        <v>3.4630753292881455E-2</v>
      </c>
      <c r="U8" s="16">
        <v>4.6174337723841941E-2</v>
      </c>
      <c r="V8" s="16">
        <v>0.19683291401509545</v>
      </c>
      <c r="W8" s="16">
        <v>2.308716886192097E-2</v>
      </c>
      <c r="X8" s="16">
        <v>0.11365990824330324</v>
      </c>
      <c r="Y8" s="16">
        <v>5.4462039366582803E-2</v>
      </c>
      <c r="Z8" s="16">
        <v>1</v>
      </c>
    </row>
    <row r="9" spans="1:26" x14ac:dyDescent="0.3">
      <c r="J9" s="13" t="s">
        <v>634</v>
      </c>
      <c r="K9" s="16">
        <v>2.1225450081833061E-2</v>
      </c>
      <c r="L9" s="16">
        <v>1.5957446808510637E-2</v>
      </c>
      <c r="M9" s="16">
        <v>5.1554828150572829E-2</v>
      </c>
      <c r="N9" s="16">
        <v>9.6665302782324061E-2</v>
      </c>
      <c r="O9" s="16">
        <v>4.9099836333878884E-2</v>
      </c>
      <c r="P9" s="16">
        <v>8.4390343698854342E-2</v>
      </c>
      <c r="Q9" s="16">
        <v>0.12684124386252046</v>
      </c>
      <c r="R9" s="16">
        <v>0.10229132569558101</v>
      </c>
      <c r="S9" s="16">
        <v>6.1681669394435354E-2</v>
      </c>
      <c r="T9" s="16">
        <v>3.7285188216039281E-2</v>
      </c>
      <c r="U9" s="16">
        <v>4.7872340425531915E-2</v>
      </c>
      <c r="V9" s="16">
        <v>0.13962765957446807</v>
      </c>
      <c r="W9" s="16">
        <v>2.3936170212765957E-2</v>
      </c>
      <c r="X9" s="16">
        <v>9.7381342062193121E-2</v>
      </c>
      <c r="Y9" s="16">
        <v>4.4189852700491E-2</v>
      </c>
      <c r="Z9" s="16">
        <v>1</v>
      </c>
    </row>
    <row r="10" spans="1:26" x14ac:dyDescent="0.3">
      <c r="E10" s="12" t="s">
        <v>627</v>
      </c>
      <c r="F10" t="s">
        <v>635</v>
      </c>
    </row>
    <row r="11" spans="1:26" x14ac:dyDescent="0.3">
      <c r="E11" s="13" t="s">
        <v>34</v>
      </c>
      <c r="F11" s="16">
        <v>0.58894230769230771</v>
      </c>
    </row>
    <row r="12" spans="1:26" x14ac:dyDescent="0.3">
      <c r="E12" s="13" t="s">
        <v>24</v>
      </c>
      <c r="F12" s="16">
        <v>0.16494476268412439</v>
      </c>
    </row>
    <row r="13" spans="1:26" x14ac:dyDescent="0.3">
      <c r="A13" s="12" t="s">
        <v>627</v>
      </c>
      <c r="B13" t="s">
        <v>635</v>
      </c>
      <c r="E13" s="13" t="s">
        <v>30</v>
      </c>
      <c r="F13" s="16">
        <v>0.24611292962356793</v>
      </c>
    </row>
    <row r="14" spans="1:26" x14ac:dyDescent="0.3">
      <c r="A14" s="13" t="s">
        <v>41</v>
      </c>
      <c r="B14" s="14">
        <v>136500</v>
      </c>
      <c r="E14" s="13" t="s">
        <v>634</v>
      </c>
      <c r="F14" s="16">
        <v>1</v>
      </c>
    </row>
    <row r="15" spans="1:26" x14ac:dyDescent="0.3">
      <c r="A15" s="13" t="s">
        <v>57</v>
      </c>
      <c r="B15" s="14">
        <v>124000</v>
      </c>
    </row>
    <row r="16" spans="1:26" x14ac:dyDescent="0.3">
      <c r="A16" s="13" t="s">
        <v>59</v>
      </c>
      <c r="B16" s="14">
        <v>100000</v>
      </c>
    </row>
    <row r="17" spans="1:12" x14ac:dyDescent="0.3">
      <c r="A17" s="13" t="s">
        <v>36</v>
      </c>
      <c r="B17" s="14">
        <v>95200</v>
      </c>
    </row>
    <row r="18" spans="1:12" x14ac:dyDescent="0.3">
      <c r="A18" s="13" t="s">
        <v>54</v>
      </c>
      <c r="B18" s="14">
        <v>94500</v>
      </c>
    </row>
    <row r="19" spans="1:12" x14ac:dyDescent="0.3">
      <c r="A19" s="13" t="s">
        <v>634</v>
      </c>
      <c r="B19" s="14">
        <v>550200</v>
      </c>
      <c r="D19" s="20"/>
      <c r="E19" s="21"/>
      <c r="F19" s="22"/>
    </row>
    <row r="20" spans="1:12" x14ac:dyDescent="0.3">
      <c r="D20" s="23"/>
      <c r="E20" s="24"/>
      <c r="F20" s="25"/>
      <c r="K20" t="s">
        <v>635</v>
      </c>
      <c r="L20" t="s">
        <v>653</v>
      </c>
    </row>
    <row r="21" spans="1:12" x14ac:dyDescent="0.3">
      <c r="D21" s="23"/>
      <c r="E21" s="24"/>
      <c r="F21" s="25"/>
      <c r="K21" s="14">
        <v>977600</v>
      </c>
      <c r="L21">
        <v>400</v>
      </c>
    </row>
    <row r="22" spans="1:12" x14ac:dyDescent="0.3">
      <c r="D22" s="23"/>
      <c r="E22" s="24"/>
      <c r="F22" s="25"/>
    </row>
    <row r="23" spans="1:12" x14ac:dyDescent="0.3">
      <c r="D23" s="23"/>
      <c r="E23" s="24"/>
      <c r="F23" s="25"/>
    </row>
    <row r="24" spans="1:12" x14ac:dyDescent="0.3">
      <c r="D24" s="23"/>
      <c r="E24" s="24"/>
      <c r="F24" s="25"/>
    </row>
    <row r="25" spans="1:12" x14ac:dyDescent="0.3">
      <c r="D25" s="23"/>
      <c r="E25" s="24"/>
      <c r="F25" s="25"/>
    </row>
    <row r="26" spans="1:12" x14ac:dyDescent="0.3">
      <c r="D26" s="23"/>
      <c r="E26" s="24"/>
      <c r="F26" s="25"/>
    </row>
    <row r="27" spans="1:12" x14ac:dyDescent="0.3">
      <c r="D27" s="23"/>
      <c r="E27" s="24"/>
      <c r="F27" s="25"/>
    </row>
    <row r="28" spans="1:12" x14ac:dyDescent="0.3">
      <c r="D28" s="23"/>
      <c r="E28" s="24"/>
      <c r="F28" s="25"/>
    </row>
    <row r="29" spans="1:12" x14ac:dyDescent="0.3">
      <c r="D29" s="23"/>
      <c r="E29" s="24"/>
      <c r="F29" s="25"/>
    </row>
    <row r="30" spans="1:12" x14ac:dyDescent="0.3">
      <c r="D30" s="23"/>
      <c r="E30" s="24"/>
      <c r="F30" s="25"/>
    </row>
    <row r="31" spans="1:12" x14ac:dyDescent="0.3">
      <c r="D31" s="23"/>
      <c r="E31" s="24"/>
      <c r="F31" s="25"/>
    </row>
    <row r="32" spans="1:12" x14ac:dyDescent="0.3">
      <c r="D32" s="23"/>
      <c r="E32" s="24"/>
      <c r="F32" s="25"/>
    </row>
    <row r="33" spans="4:6" x14ac:dyDescent="0.3">
      <c r="D33" s="23"/>
      <c r="E33" s="24"/>
      <c r="F33" s="25"/>
    </row>
    <row r="34" spans="4:6" x14ac:dyDescent="0.3">
      <c r="D34" s="23"/>
      <c r="E34" s="24"/>
      <c r="F34" s="25"/>
    </row>
    <row r="35" spans="4:6" x14ac:dyDescent="0.3">
      <c r="D35" s="23"/>
      <c r="E35" s="24"/>
      <c r="F35" s="25"/>
    </row>
    <row r="36" spans="4:6" x14ac:dyDescent="0.3">
      <c r="D36" s="26"/>
      <c r="E36" s="27"/>
      <c r="F36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70D3-1C64-4D1B-B23B-03A62681A476}">
  <dimension ref="A1:G20"/>
  <sheetViews>
    <sheetView workbookViewId="0">
      <selection activeCell="E21" sqref="E21"/>
    </sheetView>
  </sheetViews>
  <sheetFormatPr baseColWidth="10" defaultRowHeight="14.4" x14ac:dyDescent="0.3"/>
  <cols>
    <col min="1" max="1" width="19.5546875" bestFit="1" customWidth="1"/>
    <col min="2" max="3" width="28.5546875" bestFit="1" customWidth="1"/>
    <col min="4" max="4" width="18.77734375" bestFit="1" customWidth="1"/>
    <col min="6" max="6" width="19.5546875" bestFit="1" customWidth="1"/>
    <col min="7" max="7" width="17.88671875" bestFit="1" customWidth="1"/>
  </cols>
  <sheetData>
    <row r="1" spans="1:7" x14ac:dyDescent="0.3">
      <c r="A1" s="12" t="s">
        <v>627</v>
      </c>
      <c r="B1" t="s">
        <v>635</v>
      </c>
    </row>
    <row r="2" spans="1:7" x14ac:dyDescent="0.3">
      <c r="A2" s="13" t="s">
        <v>44</v>
      </c>
      <c r="B2">
        <v>313900</v>
      </c>
    </row>
    <row r="3" spans="1:7" x14ac:dyDescent="0.3">
      <c r="A3" s="13" t="s">
        <v>20</v>
      </c>
      <c r="B3">
        <v>325850</v>
      </c>
    </row>
    <row r="4" spans="1:7" x14ac:dyDescent="0.3">
      <c r="A4" s="13" t="s">
        <v>26</v>
      </c>
      <c r="B4">
        <v>337850</v>
      </c>
      <c r="F4" s="12" t="s">
        <v>627</v>
      </c>
      <c r="G4" t="s">
        <v>659</v>
      </c>
    </row>
    <row r="5" spans="1:7" x14ac:dyDescent="0.3">
      <c r="A5" s="13" t="s">
        <v>634</v>
      </c>
      <c r="B5">
        <v>977600</v>
      </c>
      <c r="F5" s="13" t="s">
        <v>656</v>
      </c>
      <c r="G5">
        <v>197</v>
      </c>
    </row>
    <row r="6" spans="1:7" x14ac:dyDescent="0.3">
      <c r="F6" s="13" t="s">
        <v>657</v>
      </c>
      <c r="G6">
        <v>169</v>
      </c>
    </row>
    <row r="7" spans="1:7" x14ac:dyDescent="0.3">
      <c r="F7" s="13" t="s">
        <v>630</v>
      </c>
      <c r="G7">
        <v>174</v>
      </c>
    </row>
    <row r="8" spans="1:7" x14ac:dyDescent="0.3">
      <c r="F8" s="13" t="s">
        <v>658</v>
      </c>
      <c r="G8">
        <v>217</v>
      </c>
    </row>
    <row r="9" spans="1:7" x14ac:dyDescent="0.3">
      <c r="C9" t="s">
        <v>635</v>
      </c>
      <c r="D9" t="s">
        <v>653</v>
      </c>
      <c r="F9" s="13" t="s">
        <v>632</v>
      </c>
      <c r="G9">
        <v>180</v>
      </c>
    </row>
    <row r="10" spans="1:7" x14ac:dyDescent="0.3">
      <c r="C10" s="14">
        <v>977600</v>
      </c>
      <c r="D10">
        <v>400</v>
      </c>
      <c r="F10" s="13" t="s">
        <v>633</v>
      </c>
      <c r="G10">
        <v>250</v>
      </c>
    </row>
    <row r="11" spans="1:7" x14ac:dyDescent="0.3">
      <c r="F11" s="13" t="s">
        <v>634</v>
      </c>
      <c r="G11">
        <v>1187</v>
      </c>
    </row>
    <row r="17" spans="2:5" x14ac:dyDescent="0.3">
      <c r="B17" s="29">
        <f>GETPIVOTDATA("Somme de Montant_Total_FCFA",$C$9)</f>
        <v>977600</v>
      </c>
    </row>
    <row r="18" spans="2:5" x14ac:dyDescent="0.3">
      <c r="B18" s="30">
        <f>GETPIVOTDATA("Nombre de ID_Vente",$C$9)</f>
        <v>400</v>
      </c>
    </row>
    <row r="19" spans="2:5" x14ac:dyDescent="0.3">
      <c r="B19" s="29">
        <f>IFERROR(B17/B18,0)</f>
        <v>2444</v>
      </c>
      <c r="E19">
        <f>IFERROR(GETPIVOTDATA("Somme de Montant_Total_FCFA",TCD!$A$1,"Mois","mars")/GETPIVOTDATA("Nombre de ID_Vente",TCD!$A$1,"Mois","mars"),0)</f>
        <v>0</v>
      </c>
    </row>
    <row r="20" spans="2:5" x14ac:dyDescent="0.3">
      <c r="E20">
        <f>IFERROR(GETPIVOTDATA("Somme de Montant_Total_FCFA",TCD!$A$1,"Mois","février")/GETPIVOTDATA("Nombre de ID_Vente",TCD!$A$1,"Mois","février"),0)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920-6E69-4E7E-AE74-3F416948E9E9}">
  <dimension ref="A1:K81"/>
  <sheetViews>
    <sheetView topLeftCell="B1" workbookViewId="0">
      <selection activeCell="J10" sqref="J10"/>
    </sheetView>
  </sheetViews>
  <sheetFormatPr baseColWidth="10" defaultRowHeight="14.4" x14ac:dyDescent="0.3"/>
  <cols>
    <col min="1" max="1" width="11" bestFit="1" customWidth="1"/>
    <col min="2" max="2" width="10.5546875" bestFit="1" customWidth="1"/>
    <col min="3" max="3" width="10.88671875" bestFit="1" customWidth="1"/>
    <col min="4" max="4" width="10.44140625" bestFit="1" customWidth="1"/>
    <col min="5" max="5" width="19.109375" bestFit="1" customWidth="1"/>
    <col min="6" max="6" width="10.5546875" bestFit="1" customWidth="1"/>
    <col min="7" max="7" width="14" bestFit="1" customWidth="1"/>
    <col min="8" max="8" width="17.21875" bestFit="1" customWidth="1"/>
  </cols>
  <sheetData>
    <row r="1" spans="1:1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t="s">
        <v>504</v>
      </c>
      <c r="H1" t="s">
        <v>18</v>
      </c>
    </row>
    <row r="2" spans="1:11" x14ac:dyDescent="0.3">
      <c r="A2" t="s">
        <v>19</v>
      </c>
      <c r="B2" s="15">
        <v>46121</v>
      </c>
      <c r="C2" t="s">
        <v>26</v>
      </c>
      <c r="D2" t="s">
        <v>38</v>
      </c>
      <c r="E2" t="s">
        <v>22</v>
      </c>
      <c r="F2">
        <v>3</v>
      </c>
      <c r="G2">
        <v>250</v>
      </c>
      <c r="H2" t="s">
        <v>30</v>
      </c>
      <c r="K2" t="s">
        <v>651</v>
      </c>
    </row>
    <row r="3" spans="1:11" x14ac:dyDescent="0.3">
      <c r="A3" t="s">
        <v>25</v>
      </c>
      <c r="B3" s="15">
        <v>46038</v>
      </c>
      <c r="C3" t="s">
        <v>44</v>
      </c>
      <c r="D3" t="s">
        <v>45</v>
      </c>
      <c r="E3" t="s">
        <v>637</v>
      </c>
      <c r="F3">
        <v>3</v>
      </c>
      <c r="G3">
        <v>1000</v>
      </c>
      <c r="H3" t="s">
        <v>34</v>
      </c>
      <c r="K3" t="s">
        <v>652</v>
      </c>
    </row>
    <row r="4" spans="1:11" x14ac:dyDescent="0.3">
      <c r="A4" t="s">
        <v>31</v>
      </c>
      <c r="B4" s="15">
        <v>46079</v>
      </c>
      <c r="C4" t="s">
        <v>26</v>
      </c>
      <c r="D4" t="s">
        <v>27</v>
      </c>
      <c r="E4" t="s">
        <v>637</v>
      </c>
      <c r="F4">
        <v>2</v>
      </c>
      <c r="G4">
        <v>1000</v>
      </c>
      <c r="H4" t="s">
        <v>30</v>
      </c>
    </row>
    <row r="5" spans="1:11" x14ac:dyDescent="0.3">
      <c r="A5" t="s">
        <v>35</v>
      </c>
      <c r="B5" s="15">
        <v>46160</v>
      </c>
      <c r="C5" t="s">
        <v>44</v>
      </c>
      <c r="D5" t="s">
        <v>45</v>
      </c>
      <c r="E5" t="s">
        <v>22</v>
      </c>
      <c r="F5">
        <v>2</v>
      </c>
      <c r="G5">
        <v>250</v>
      </c>
      <c r="H5" t="s">
        <v>24</v>
      </c>
    </row>
    <row r="6" spans="1:11" x14ac:dyDescent="0.3">
      <c r="A6" t="s">
        <v>37</v>
      </c>
      <c r="B6" s="15">
        <v>46167</v>
      </c>
      <c r="C6" t="s">
        <v>26</v>
      </c>
      <c r="D6" t="s">
        <v>27</v>
      </c>
      <c r="E6" t="s">
        <v>638</v>
      </c>
      <c r="F6">
        <v>2</v>
      </c>
      <c r="G6">
        <v>1200</v>
      </c>
      <c r="H6" t="s">
        <v>24</v>
      </c>
    </row>
    <row r="7" spans="1:11" x14ac:dyDescent="0.3">
      <c r="A7" t="s">
        <v>40</v>
      </c>
      <c r="B7" s="15">
        <v>46197</v>
      </c>
      <c r="C7" t="s">
        <v>26</v>
      </c>
      <c r="D7" t="s">
        <v>38</v>
      </c>
      <c r="E7" t="s">
        <v>639</v>
      </c>
      <c r="G7">
        <v>1500</v>
      </c>
      <c r="H7" t="s">
        <v>34</v>
      </c>
    </row>
    <row r="8" spans="1:11" x14ac:dyDescent="0.3">
      <c r="A8" t="s">
        <v>42</v>
      </c>
      <c r="B8" s="15">
        <v>46141</v>
      </c>
      <c r="C8" t="s">
        <v>44</v>
      </c>
      <c r="D8" t="s">
        <v>62</v>
      </c>
      <c r="E8" t="s">
        <v>640</v>
      </c>
      <c r="G8">
        <v>900</v>
      </c>
      <c r="H8" t="s">
        <v>30</v>
      </c>
    </row>
    <row r="9" spans="1:11" x14ac:dyDescent="0.3">
      <c r="A9" t="s">
        <v>43</v>
      </c>
      <c r="B9" s="15">
        <v>46111</v>
      </c>
      <c r="C9" t="s">
        <v>44</v>
      </c>
      <c r="D9" t="s">
        <v>45</v>
      </c>
      <c r="E9" t="s">
        <v>641</v>
      </c>
      <c r="F9">
        <v>1</v>
      </c>
      <c r="G9">
        <v>400</v>
      </c>
      <c r="H9" t="s">
        <v>34</v>
      </c>
    </row>
    <row r="10" spans="1:11" x14ac:dyDescent="0.3">
      <c r="A10" t="s">
        <v>48</v>
      </c>
      <c r="B10" s="15">
        <v>46187</v>
      </c>
      <c r="C10" t="s">
        <v>44</v>
      </c>
      <c r="D10" t="s">
        <v>62</v>
      </c>
      <c r="E10" t="s">
        <v>649</v>
      </c>
      <c r="F10">
        <v>5</v>
      </c>
      <c r="G10">
        <v>2500</v>
      </c>
      <c r="H10" t="s">
        <v>30</v>
      </c>
    </row>
    <row r="11" spans="1:11" x14ac:dyDescent="0.3">
      <c r="A11" t="s">
        <v>49</v>
      </c>
      <c r="B11" s="15">
        <v>46112</v>
      </c>
      <c r="C11" t="s">
        <v>26</v>
      </c>
      <c r="D11" t="s">
        <v>27</v>
      </c>
      <c r="E11" t="s">
        <v>641</v>
      </c>
      <c r="F11">
        <v>5</v>
      </c>
      <c r="G11">
        <v>400</v>
      </c>
      <c r="H11" t="s">
        <v>24</v>
      </c>
    </row>
    <row r="12" spans="1:11" x14ac:dyDescent="0.3">
      <c r="A12" t="s">
        <v>50</v>
      </c>
      <c r="B12" s="15">
        <v>46162</v>
      </c>
      <c r="C12" t="s">
        <v>20</v>
      </c>
      <c r="D12" t="s">
        <v>21</v>
      </c>
      <c r="E12" t="s">
        <v>638</v>
      </c>
      <c r="F12">
        <v>2</v>
      </c>
      <c r="G12">
        <v>1200</v>
      </c>
      <c r="H12" t="s">
        <v>34</v>
      </c>
    </row>
    <row r="13" spans="1:11" x14ac:dyDescent="0.3">
      <c r="A13" t="s">
        <v>53</v>
      </c>
      <c r="B13" s="15">
        <v>46051</v>
      </c>
      <c r="C13" t="s">
        <v>26</v>
      </c>
      <c r="D13" t="s">
        <v>38</v>
      </c>
      <c r="E13" t="s">
        <v>642</v>
      </c>
      <c r="F13">
        <v>1</v>
      </c>
      <c r="G13">
        <v>300</v>
      </c>
      <c r="H13" t="s">
        <v>34</v>
      </c>
    </row>
    <row r="14" spans="1:11" x14ac:dyDescent="0.3">
      <c r="A14" t="s">
        <v>55</v>
      </c>
      <c r="B14" s="15">
        <v>46195</v>
      </c>
      <c r="C14" t="s">
        <v>44</v>
      </c>
      <c r="D14" t="s">
        <v>45</v>
      </c>
      <c r="E14" t="s">
        <v>643</v>
      </c>
      <c r="F14">
        <v>1</v>
      </c>
      <c r="G14">
        <v>450</v>
      </c>
      <c r="H14" t="s">
        <v>30</v>
      </c>
    </row>
    <row r="15" spans="1:11" x14ac:dyDescent="0.3">
      <c r="A15" t="s">
        <v>56</v>
      </c>
      <c r="B15" s="15">
        <v>46097</v>
      </c>
      <c r="C15" t="s">
        <v>26</v>
      </c>
      <c r="D15" t="s">
        <v>38</v>
      </c>
      <c r="E15" t="s">
        <v>642</v>
      </c>
      <c r="F15">
        <v>3</v>
      </c>
      <c r="G15">
        <v>300</v>
      </c>
      <c r="H15" t="s">
        <v>34</v>
      </c>
    </row>
    <row r="16" spans="1:11" x14ac:dyDescent="0.3">
      <c r="A16" t="s">
        <v>58</v>
      </c>
      <c r="B16" s="15">
        <v>46165</v>
      </c>
      <c r="C16" t="s">
        <v>44</v>
      </c>
      <c r="D16" t="s">
        <v>45</v>
      </c>
      <c r="E16" t="s">
        <v>54</v>
      </c>
      <c r="F16">
        <v>5</v>
      </c>
      <c r="G16">
        <v>700</v>
      </c>
      <c r="H16" t="s">
        <v>24</v>
      </c>
    </row>
    <row r="17" spans="1:8" x14ac:dyDescent="0.3">
      <c r="A17" t="s">
        <v>60</v>
      </c>
      <c r="B17" s="15">
        <v>46129</v>
      </c>
      <c r="C17" t="s">
        <v>20</v>
      </c>
      <c r="D17" t="s">
        <v>32</v>
      </c>
      <c r="E17" t="s">
        <v>646</v>
      </c>
      <c r="F17">
        <v>5</v>
      </c>
      <c r="G17">
        <v>400</v>
      </c>
      <c r="H17" t="s">
        <v>34</v>
      </c>
    </row>
    <row r="18" spans="1:8" x14ac:dyDescent="0.3">
      <c r="A18" t="s">
        <v>61</v>
      </c>
      <c r="B18" s="15">
        <v>46059</v>
      </c>
      <c r="C18" t="s">
        <v>20</v>
      </c>
      <c r="D18" t="s">
        <v>32</v>
      </c>
      <c r="E18" t="s">
        <v>641</v>
      </c>
      <c r="F18">
        <v>5</v>
      </c>
      <c r="G18">
        <v>400</v>
      </c>
      <c r="H18" t="s">
        <v>30</v>
      </c>
    </row>
    <row r="19" spans="1:8" x14ac:dyDescent="0.3">
      <c r="A19" t="s">
        <v>63</v>
      </c>
      <c r="B19" s="15">
        <v>46107</v>
      </c>
      <c r="C19" t="s">
        <v>44</v>
      </c>
      <c r="D19" t="s">
        <v>45</v>
      </c>
      <c r="E19" t="s">
        <v>644</v>
      </c>
      <c r="F19">
        <v>5</v>
      </c>
      <c r="G19">
        <v>600</v>
      </c>
      <c r="H19" t="s">
        <v>30</v>
      </c>
    </row>
    <row r="20" spans="1:8" x14ac:dyDescent="0.3">
      <c r="A20" t="s">
        <v>64</v>
      </c>
      <c r="B20" s="15">
        <v>46177</v>
      </c>
      <c r="C20" t="s">
        <v>44</v>
      </c>
      <c r="D20" t="s">
        <v>45</v>
      </c>
      <c r="E20" t="s">
        <v>638</v>
      </c>
      <c r="F20">
        <v>1</v>
      </c>
      <c r="G20">
        <v>1200</v>
      </c>
      <c r="H20" t="s">
        <v>34</v>
      </c>
    </row>
    <row r="21" spans="1:8" x14ac:dyDescent="0.3">
      <c r="A21" t="s">
        <v>65</v>
      </c>
      <c r="B21" s="15">
        <v>46108</v>
      </c>
      <c r="C21" t="s">
        <v>20</v>
      </c>
      <c r="D21" t="s">
        <v>32</v>
      </c>
      <c r="E21" t="s">
        <v>643</v>
      </c>
      <c r="F21">
        <v>2</v>
      </c>
      <c r="G21">
        <v>450</v>
      </c>
      <c r="H21" t="s">
        <v>24</v>
      </c>
    </row>
    <row r="22" spans="1:8" x14ac:dyDescent="0.3">
      <c r="A22" t="s">
        <v>67</v>
      </c>
      <c r="B22" s="15">
        <v>46084</v>
      </c>
      <c r="C22" t="s">
        <v>44</v>
      </c>
      <c r="D22" t="s">
        <v>62</v>
      </c>
      <c r="E22" t="s">
        <v>22</v>
      </c>
      <c r="F22">
        <v>3</v>
      </c>
      <c r="G22">
        <v>250</v>
      </c>
      <c r="H22" t="s">
        <v>30</v>
      </c>
    </row>
    <row r="23" spans="1:8" x14ac:dyDescent="0.3">
      <c r="A23" t="s">
        <v>68</v>
      </c>
      <c r="B23" s="15">
        <v>46150</v>
      </c>
      <c r="C23" t="s">
        <v>20</v>
      </c>
      <c r="D23" t="s">
        <v>32</v>
      </c>
      <c r="E23" t="s">
        <v>22</v>
      </c>
      <c r="F23">
        <v>5</v>
      </c>
      <c r="G23">
        <v>250</v>
      </c>
      <c r="H23" t="s">
        <v>30</v>
      </c>
    </row>
    <row r="24" spans="1:8" x14ac:dyDescent="0.3">
      <c r="A24" t="s">
        <v>69</v>
      </c>
      <c r="B24" s="15">
        <v>46079</v>
      </c>
      <c r="C24" t="s">
        <v>44</v>
      </c>
      <c r="D24" t="s">
        <v>45</v>
      </c>
      <c r="E24" t="s">
        <v>645</v>
      </c>
      <c r="F24">
        <v>3</v>
      </c>
      <c r="G24">
        <v>3500</v>
      </c>
      <c r="H24" t="s">
        <v>24</v>
      </c>
    </row>
    <row r="25" spans="1:8" x14ac:dyDescent="0.3">
      <c r="A25" t="s">
        <v>71</v>
      </c>
      <c r="B25" s="15">
        <v>46081</v>
      </c>
      <c r="C25" t="s">
        <v>20</v>
      </c>
      <c r="D25" t="s">
        <v>32</v>
      </c>
      <c r="E25" t="s">
        <v>637</v>
      </c>
      <c r="F25">
        <v>3</v>
      </c>
      <c r="G25">
        <v>1000</v>
      </c>
      <c r="H25" t="s">
        <v>30</v>
      </c>
    </row>
    <row r="26" spans="1:8" x14ac:dyDescent="0.3">
      <c r="A26" t="s">
        <v>72</v>
      </c>
      <c r="B26" s="15">
        <v>46162</v>
      </c>
      <c r="C26" t="s">
        <v>20</v>
      </c>
      <c r="D26" t="s">
        <v>32</v>
      </c>
      <c r="E26" t="s">
        <v>644</v>
      </c>
      <c r="F26">
        <v>1</v>
      </c>
      <c r="G26">
        <v>600</v>
      </c>
      <c r="H26" t="s">
        <v>24</v>
      </c>
    </row>
    <row r="27" spans="1:8" x14ac:dyDescent="0.3">
      <c r="A27" t="s">
        <v>74</v>
      </c>
      <c r="B27" s="15">
        <v>46184</v>
      </c>
      <c r="C27" t="s">
        <v>26</v>
      </c>
      <c r="D27" t="s">
        <v>27</v>
      </c>
      <c r="E27" t="s">
        <v>640</v>
      </c>
      <c r="F27">
        <v>2</v>
      </c>
      <c r="G27">
        <v>900</v>
      </c>
      <c r="H27" t="s">
        <v>34</v>
      </c>
    </row>
    <row r="28" spans="1:8" x14ac:dyDescent="0.3">
      <c r="A28" t="s">
        <v>75</v>
      </c>
      <c r="B28" s="15">
        <v>46193</v>
      </c>
      <c r="C28" t="s">
        <v>44</v>
      </c>
      <c r="D28" t="s">
        <v>62</v>
      </c>
      <c r="E28" t="s">
        <v>54</v>
      </c>
      <c r="F28">
        <v>5</v>
      </c>
      <c r="G28">
        <v>700</v>
      </c>
      <c r="H28" t="s">
        <v>34</v>
      </c>
    </row>
    <row r="29" spans="1:8" x14ac:dyDescent="0.3">
      <c r="A29" t="s">
        <v>76</v>
      </c>
      <c r="B29" s="15">
        <v>46093</v>
      </c>
      <c r="C29" t="s">
        <v>44</v>
      </c>
      <c r="D29" t="s">
        <v>62</v>
      </c>
      <c r="E29" t="s">
        <v>645</v>
      </c>
      <c r="F29">
        <v>5</v>
      </c>
      <c r="G29">
        <v>3500</v>
      </c>
      <c r="H29" t="s">
        <v>34</v>
      </c>
    </row>
    <row r="30" spans="1:8" x14ac:dyDescent="0.3">
      <c r="A30" t="s">
        <v>77</v>
      </c>
      <c r="B30" s="15">
        <v>46087</v>
      </c>
      <c r="C30" t="s">
        <v>20</v>
      </c>
      <c r="D30" t="s">
        <v>21</v>
      </c>
      <c r="E30" t="s">
        <v>22</v>
      </c>
      <c r="F30">
        <v>5</v>
      </c>
      <c r="G30">
        <v>250</v>
      </c>
      <c r="H30" t="s">
        <v>34</v>
      </c>
    </row>
    <row r="31" spans="1:8" x14ac:dyDescent="0.3">
      <c r="A31" t="s">
        <v>78</v>
      </c>
      <c r="B31" s="15">
        <v>46080</v>
      </c>
      <c r="C31" t="s">
        <v>20</v>
      </c>
      <c r="D31" t="s">
        <v>32</v>
      </c>
      <c r="E31" t="s">
        <v>54</v>
      </c>
      <c r="G31">
        <v>700</v>
      </c>
      <c r="H31" t="s">
        <v>34</v>
      </c>
    </row>
    <row r="32" spans="1:8" x14ac:dyDescent="0.3">
      <c r="A32" t="s">
        <v>79</v>
      </c>
      <c r="B32" s="15">
        <v>46025</v>
      </c>
      <c r="C32" t="s">
        <v>44</v>
      </c>
      <c r="D32" t="s">
        <v>45</v>
      </c>
      <c r="E32" t="s">
        <v>639</v>
      </c>
      <c r="F32">
        <v>5</v>
      </c>
      <c r="G32">
        <v>1500</v>
      </c>
      <c r="H32" t="s">
        <v>30</v>
      </c>
    </row>
    <row r="33" spans="1:8" x14ac:dyDescent="0.3">
      <c r="A33" t="s">
        <v>80</v>
      </c>
      <c r="B33" s="15">
        <v>46200</v>
      </c>
      <c r="C33" t="s">
        <v>44</v>
      </c>
      <c r="D33" t="s">
        <v>62</v>
      </c>
      <c r="E33" t="s">
        <v>646</v>
      </c>
      <c r="G33">
        <v>400</v>
      </c>
      <c r="H33" t="s">
        <v>34</v>
      </c>
    </row>
    <row r="34" spans="1:8" x14ac:dyDescent="0.3">
      <c r="A34" t="s">
        <v>81</v>
      </c>
      <c r="B34" s="15">
        <v>46076</v>
      </c>
      <c r="C34" t="s">
        <v>44</v>
      </c>
      <c r="D34" t="s">
        <v>45</v>
      </c>
      <c r="E34" t="s">
        <v>22</v>
      </c>
      <c r="F34">
        <v>5</v>
      </c>
      <c r="G34">
        <v>250</v>
      </c>
      <c r="H34" t="s">
        <v>34</v>
      </c>
    </row>
    <row r="35" spans="1:8" x14ac:dyDescent="0.3">
      <c r="A35" t="s">
        <v>82</v>
      </c>
      <c r="B35" s="15">
        <v>46161</v>
      </c>
      <c r="C35" t="s">
        <v>20</v>
      </c>
      <c r="D35" t="s">
        <v>21</v>
      </c>
      <c r="E35" t="s">
        <v>22</v>
      </c>
      <c r="F35">
        <v>2</v>
      </c>
      <c r="G35">
        <v>250</v>
      </c>
      <c r="H35" t="s">
        <v>24</v>
      </c>
    </row>
    <row r="36" spans="1:8" x14ac:dyDescent="0.3">
      <c r="A36" t="s">
        <v>83</v>
      </c>
      <c r="B36" s="15">
        <v>46042</v>
      </c>
      <c r="C36" t="s">
        <v>20</v>
      </c>
      <c r="D36" t="s">
        <v>21</v>
      </c>
      <c r="E36" t="s">
        <v>22</v>
      </c>
      <c r="F36">
        <v>3</v>
      </c>
      <c r="G36">
        <v>250</v>
      </c>
      <c r="H36" t="s">
        <v>34</v>
      </c>
    </row>
    <row r="37" spans="1:8" x14ac:dyDescent="0.3">
      <c r="A37" t="s">
        <v>84</v>
      </c>
      <c r="B37" s="15">
        <v>46119</v>
      </c>
      <c r="C37" t="s">
        <v>20</v>
      </c>
      <c r="D37" t="s">
        <v>32</v>
      </c>
      <c r="E37" t="s">
        <v>54</v>
      </c>
      <c r="F37">
        <v>5</v>
      </c>
      <c r="G37">
        <v>700</v>
      </c>
      <c r="H37" t="s">
        <v>34</v>
      </c>
    </row>
    <row r="38" spans="1:8" x14ac:dyDescent="0.3">
      <c r="A38" t="s">
        <v>85</v>
      </c>
      <c r="B38" s="15">
        <v>46120</v>
      </c>
      <c r="C38" t="s">
        <v>44</v>
      </c>
      <c r="D38" t="s">
        <v>45</v>
      </c>
      <c r="E38" t="s">
        <v>640</v>
      </c>
      <c r="F38">
        <v>5</v>
      </c>
      <c r="G38">
        <v>900</v>
      </c>
      <c r="H38" t="s">
        <v>30</v>
      </c>
    </row>
    <row r="39" spans="1:8" x14ac:dyDescent="0.3">
      <c r="A39" t="s">
        <v>86</v>
      </c>
      <c r="B39" s="15">
        <v>46092</v>
      </c>
      <c r="C39" t="s">
        <v>26</v>
      </c>
      <c r="D39" t="s">
        <v>27</v>
      </c>
      <c r="E39" t="s">
        <v>639</v>
      </c>
      <c r="F39">
        <v>2</v>
      </c>
      <c r="G39">
        <v>1500</v>
      </c>
      <c r="H39" t="s">
        <v>30</v>
      </c>
    </row>
    <row r="40" spans="1:8" x14ac:dyDescent="0.3">
      <c r="A40" t="s">
        <v>88</v>
      </c>
      <c r="B40" s="15">
        <v>46164</v>
      </c>
      <c r="C40" t="s">
        <v>26</v>
      </c>
      <c r="D40" t="s">
        <v>38</v>
      </c>
      <c r="E40" t="s">
        <v>638</v>
      </c>
      <c r="F40">
        <v>5</v>
      </c>
      <c r="G40">
        <v>1200</v>
      </c>
      <c r="H40" t="s">
        <v>34</v>
      </c>
    </row>
    <row r="41" spans="1:8" x14ac:dyDescent="0.3">
      <c r="A41" t="s">
        <v>89</v>
      </c>
      <c r="B41" s="15">
        <v>46085</v>
      </c>
      <c r="C41" t="s">
        <v>44</v>
      </c>
      <c r="D41" t="s">
        <v>45</v>
      </c>
      <c r="E41" t="s">
        <v>54</v>
      </c>
      <c r="F41">
        <v>5</v>
      </c>
      <c r="G41">
        <v>700</v>
      </c>
      <c r="H41" t="s">
        <v>34</v>
      </c>
    </row>
    <row r="42" spans="1:8" x14ac:dyDescent="0.3">
      <c r="A42" t="s">
        <v>90</v>
      </c>
      <c r="B42" s="15">
        <v>46065</v>
      </c>
      <c r="C42" t="s">
        <v>20</v>
      </c>
      <c r="D42" t="s">
        <v>21</v>
      </c>
      <c r="E42" t="s">
        <v>647</v>
      </c>
      <c r="F42">
        <v>3</v>
      </c>
      <c r="G42">
        <v>500</v>
      </c>
      <c r="H42" t="s">
        <v>30</v>
      </c>
    </row>
    <row r="43" spans="1:8" x14ac:dyDescent="0.3">
      <c r="A43" t="s">
        <v>91</v>
      </c>
      <c r="B43" s="15">
        <v>46073</v>
      </c>
      <c r="C43" t="s">
        <v>20</v>
      </c>
      <c r="D43" t="s">
        <v>32</v>
      </c>
      <c r="E43" t="s">
        <v>648</v>
      </c>
      <c r="F43">
        <v>3</v>
      </c>
      <c r="G43">
        <v>800</v>
      </c>
      <c r="H43" t="s">
        <v>34</v>
      </c>
    </row>
    <row r="44" spans="1:8" x14ac:dyDescent="0.3">
      <c r="A44" t="s">
        <v>92</v>
      </c>
      <c r="B44" s="15">
        <v>46189</v>
      </c>
      <c r="C44" t="s">
        <v>44</v>
      </c>
      <c r="D44" t="s">
        <v>45</v>
      </c>
      <c r="E44" t="s">
        <v>646</v>
      </c>
      <c r="F44">
        <v>3</v>
      </c>
      <c r="G44">
        <v>400</v>
      </c>
      <c r="H44" t="s">
        <v>24</v>
      </c>
    </row>
    <row r="45" spans="1:8" x14ac:dyDescent="0.3">
      <c r="A45" t="s">
        <v>93</v>
      </c>
      <c r="B45" s="15">
        <v>46104</v>
      </c>
      <c r="C45" t="s">
        <v>20</v>
      </c>
      <c r="D45" t="s">
        <v>21</v>
      </c>
      <c r="E45" t="s">
        <v>642</v>
      </c>
      <c r="F45">
        <v>2</v>
      </c>
      <c r="G45">
        <v>300</v>
      </c>
      <c r="H45" t="s">
        <v>30</v>
      </c>
    </row>
    <row r="46" spans="1:8" x14ac:dyDescent="0.3">
      <c r="A46" t="s">
        <v>94</v>
      </c>
      <c r="B46" s="15">
        <v>46074</v>
      </c>
      <c r="C46" t="s">
        <v>44</v>
      </c>
      <c r="D46" t="s">
        <v>45</v>
      </c>
      <c r="E46" t="s">
        <v>54</v>
      </c>
      <c r="F46">
        <v>1</v>
      </c>
      <c r="G46">
        <v>700</v>
      </c>
      <c r="H46" t="s">
        <v>24</v>
      </c>
    </row>
    <row r="47" spans="1:8" x14ac:dyDescent="0.3">
      <c r="A47" t="s">
        <v>95</v>
      </c>
      <c r="B47" s="15">
        <v>46127</v>
      </c>
      <c r="C47" t="s">
        <v>44</v>
      </c>
      <c r="D47" t="s">
        <v>62</v>
      </c>
      <c r="E47" t="s">
        <v>648</v>
      </c>
      <c r="F47">
        <v>3</v>
      </c>
      <c r="G47">
        <v>800</v>
      </c>
      <c r="H47" t="s">
        <v>34</v>
      </c>
    </row>
    <row r="48" spans="1:8" x14ac:dyDescent="0.3">
      <c r="A48" t="s">
        <v>96</v>
      </c>
      <c r="B48" s="15">
        <v>46176</v>
      </c>
      <c r="C48" t="s">
        <v>20</v>
      </c>
      <c r="D48" t="s">
        <v>21</v>
      </c>
      <c r="E48" t="s">
        <v>641</v>
      </c>
      <c r="F48">
        <v>5</v>
      </c>
      <c r="G48">
        <v>400</v>
      </c>
      <c r="H48" t="s">
        <v>24</v>
      </c>
    </row>
    <row r="49" spans="1:8" x14ac:dyDescent="0.3">
      <c r="A49" t="s">
        <v>97</v>
      </c>
      <c r="B49" s="15">
        <v>46113</v>
      </c>
      <c r="C49" t="s">
        <v>26</v>
      </c>
      <c r="D49" t="s">
        <v>27</v>
      </c>
      <c r="E49" t="s">
        <v>642</v>
      </c>
      <c r="F49">
        <v>5</v>
      </c>
      <c r="G49">
        <v>300</v>
      </c>
      <c r="H49" t="s">
        <v>30</v>
      </c>
    </row>
    <row r="50" spans="1:8" x14ac:dyDescent="0.3">
      <c r="A50" t="s">
        <v>98</v>
      </c>
      <c r="B50" s="15">
        <v>46155</v>
      </c>
      <c r="C50" t="s">
        <v>44</v>
      </c>
      <c r="D50" t="s">
        <v>45</v>
      </c>
      <c r="E50" t="s">
        <v>637</v>
      </c>
      <c r="F50">
        <v>3</v>
      </c>
      <c r="G50">
        <v>1000</v>
      </c>
      <c r="H50" t="s">
        <v>30</v>
      </c>
    </row>
    <row r="51" spans="1:8" x14ac:dyDescent="0.3">
      <c r="A51" t="s">
        <v>99</v>
      </c>
      <c r="B51" s="15">
        <v>46098</v>
      </c>
      <c r="C51" t="s">
        <v>20</v>
      </c>
      <c r="D51" t="s">
        <v>32</v>
      </c>
      <c r="E51" t="s">
        <v>639</v>
      </c>
      <c r="F51">
        <v>2</v>
      </c>
      <c r="G51">
        <v>1500</v>
      </c>
      <c r="H51" t="s">
        <v>30</v>
      </c>
    </row>
    <row r="52" spans="1:8" x14ac:dyDescent="0.3">
      <c r="A52" t="s">
        <v>100</v>
      </c>
      <c r="B52" s="15">
        <v>46144</v>
      </c>
      <c r="C52" t="s">
        <v>26</v>
      </c>
      <c r="D52" t="s">
        <v>38</v>
      </c>
      <c r="E52" t="s">
        <v>640</v>
      </c>
      <c r="F52">
        <v>5</v>
      </c>
      <c r="G52">
        <v>900</v>
      </c>
      <c r="H52" t="s">
        <v>30</v>
      </c>
    </row>
    <row r="53" spans="1:8" x14ac:dyDescent="0.3">
      <c r="A53" t="s">
        <v>101</v>
      </c>
      <c r="B53" s="15">
        <v>46188</v>
      </c>
      <c r="C53" t="s">
        <v>26</v>
      </c>
      <c r="D53" t="s">
        <v>27</v>
      </c>
      <c r="E53" t="s">
        <v>644</v>
      </c>
      <c r="F53">
        <v>2</v>
      </c>
      <c r="G53">
        <v>600</v>
      </c>
      <c r="H53" t="s">
        <v>24</v>
      </c>
    </row>
    <row r="54" spans="1:8" x14ac:dyDescent="0.3">
      <c r="A54" t="s">
        <v>102</v>
      </c>
      <c r="B54" s="15">
        <v>46141</v>
      </c>
      <c r="C54" t="s">
        <v>26</v>
      </c>
      <c r="D54" t="s">
        <v>38</v>
      </c>
      <c r="E54" t="s">
        <v>54</v>
      </c>
      <c r="F54">
        <v>2</v>
      </c>
      <c r="G54">
        <v>700</v>
      </c>
      <c r="H54" t="s">
        <v>34</v>
      </c>
    </row>
    <row r="55" spans="1:8" x14ac:dyDescent="0.3">
      <c r="A55" t="s">
        <v>103</v>
      </c>
      <c r="B55" s="15">
        <v>46138</v>
      </c>
      <c r="C55" t="s">
        <v>44</v>
      </c>
      <c r="D55" t="s">
        <v>62</v>
      </c>
      <c r="E55" t="s">
        <v>647</v>
      </c>
      <c r="F55">
        <v>1</v>
      </c>
      <c r="G55">
        <v>500</v>
      </c>
      <c r="H55" t="s">
        <v>24</v>
      </c>
    </row>
    <row r="56" spans="1:8" x14ac:dyDescent="0.3">
      <c r="A56" t="s">
        <v>104</v>
      </c>
      <c r="B56" s="15">
        <v>46160</v>
      </c>
      <c r="C56" t="s">
        <v>26</v>
      </c>
      <c r="D56" t="s">
        <v>38</v>
      </c>
      <c r="E56" t="s">
        <v>649</v>
      </c>
      <c r="F56">
        <v>2</v>
      </c>
      <c r="G56">
        <v>2500</v>
      </c>
      <c r="H56" t="s">
        <v>30</v>
      </c>
    </row>
    <row r="57" spans="1:8" x14ac:dyDescent="0.3">
      <c r="A57" t="s">
        <v>105</v>
      </c>
      <c r="B57" s="15">
        <v>46179</v>
      </c>
      <c r="C57" t="s">
        <v>20</v>
      </c>
      <c r="D57" t="s">
        <v>32</v>
      </c>
      <c r="E57" t="s">
        <v>649</v>
      </c>
      <c r="F57">
        <v>3</v>
      </c>
      <c r="G57">
        <v>2500</v>
      </c>
      <c r="H57" t="s">
        <v>30</v>
      </c>
    </row>
    <row r="58" spans="1:8" x14ac:dyDescent="0.3">
      <c r="A58" t="s">
        <v>106</v>
      </c>
      <c r="B58" s="15">
        <v>46057</v>
      </c>
      <c r="C58" t="s">
        <v>20</v>
      </c>
      <c r="D58" t="s">
        <v>32</v>
      </c>
      <c r="E58" t="s">
        <v>643</v>
      </c>
      <c r="F58">
        <v>3</v>
      </c>
      <c r="G58">
        <v>450</v>
      </c>
      <c r="H58" t="s">
        <v>34</v>
      </c>
    </row>
    <row r="59" spans="1:8" x14ac:dyDescent="0.3">
      <c r="A59" t="s">
        <v>107</v>
      </c>
      <c r="B59" s="15">
        <v>46058</v>
      </c>
      <c r="C59" t="s">
        <v>44</v>
      </c>
      <c r="D59" t="s">
        <v>62</v>
      </c>
      <c r="E59" t="s">
        <v>647</v>
      </c>
      <c r="F59">
        <v>2</v>
      </c>
      <c r="G59">
        <v>500</v>
      </c>
      <c r="H59" t="s">
        <v>30</v>
      </c>
    </row>
    <row r="60" spans="1:8" x14ac:dyDescent="0.3">
      <c r="A60" t="s">
        <v>108</v>
      </c>
      <c r="B60" s="15">
        <v>46058</v>
      </c>
      <c r="C60" t="s">
        <v>26</v>
      </c>
      <c r="D60" t="s">
        <v>38</v>
      </c>
      <c r="E60" t="s">
        <v>638</v>
      </c>
      <c r="F60">
        <v>5</v>
      </c>
      <c r="G60">
        <v>1200</v>
      </c>
      <c r="H60" t="s">
        <v>24</v>
      </c>
    </row>
    <row r="61" spans="1:8" x14ac:dyDescent="0.3">
      <c r="A61" t="s">
        <v>109</v>
      </c>
      <c r="B61" s="15">
        <v>46121</v>
      </c>
      <c r="C61" t="s">
        <v>44</v>
      </c>
      <c r="D61" t="s">
        <v>62</v>
      </c>
      <c r="E61" t="s">
        <v>647</v>
      </c>
      <c r="F61">
        <v>5</v>
      </c>
      <c r="G61">
        <v>500</v>
      </c>
      <c r="H61" t="s">
        <v>30</v>
      </c>
    </row>
    <row r="62" spans="1:8" x14ac:dyDescent="0.3">
      <c r="A62" t="s">
        <v>110</v>
      </c>
      <c r="B62" s="15">
        <v>46079</v>
      </c>
      <c r="C62" t="s">
        <v>20</v>
      </c>
      <c r="D62" t="s">
        <v>32</v>
      </c>
      <c r="E62" t="s">
        <v>646</v>
      </c>
      <c r="F62">
        <v>2</v>
      </c>
      <c r="G62">
        <v>400</v>
      </c>
      <c r="H62" t="s">
        <v>24</v>
      </c>
    </row>
    <row r="63" spans="1:8" x14ac:dyDescent="0.3">
      <c r="A63" t="s">
        <v>111</v>
      </c>
      <c r="B63" s="15">
        <v>46051</v>
      </c>
      <c r="C63" t="s">
        <v>44</v>
      </c>
      <c r="D63" t="s">
        <v>45</v>
      </c>
      <c r="E63" t="s">
        <v>646</v>
      </c>
      <c r="F63">
        <v>3</v>
      </c>
      <c r="G63">
        <v>400</v>
      </c>
      <c r="H63" t="s">
        <v>24</v>
      </c>
    </row>
    <row r="64" spans="1:8" x14ac:dyDescent="0.3">
      <c r="A64" t="s">
        <v>112</v>
      </c>
      <c r="B64" s="15">
        <v>46190</v>
      </c>
      <c r="C64" t="s">
        <v>26</v>
      </c>
      <c r="D64" t="s">
        <v>38</v>
      </c>
      <c r="E64" t="s">
        <v>638</v>
      </c>
      <c r="F64">
        <v>1</v>
      </c>
      <c r="G64">
        <v>1200</v>
      </c>
      <c r="H64" t="s">
        <v>30</v>
      </c>
    </row>
    <row r="65" spans="1:8" x14ac:dyDescent="0.3">
      <c r="A65" t="s">
        <v>113</v>
      </c>
      <c r="B65" s="15">
        <v>46083</v>
      </c>
      <c r="C65" t="s">
        <v>26</v>
      </c>
      <c r="D65" t="s">
        <v>38</v>
      </c>
      <c r="E65" t="s">
        <v>638</v>
      </c>
      <c r="F65">
        <v>5</v>
      </c>
      <c r="G65">
        <v>1200</v>
      </c>
      <c r="H65" t="s">
        <v>34</v>
      </c>
    </row>
    <row r="66" spans="1:8" x14ac:dyDescent="0.3">
      <c r="A66" t="s">
        <v>114</v>
      </c>
      <c r="B66" s="15">
        <v>46159</v>
      </c>
      <c r="C66" t="s">
        <v>20</v>
      </c>
      <c r="D66" t="s">
        <v>32</v>
      </c>
      <c r="E66" t="s">
        <v>649</v>
      </c>
      <c r="F66">
        <v>3</v>
      </c>
      <c r="G66">
        <v>2500</v>
      </c>
      <c r="H66" t="s">
        <v>30</v>
      </c>
    </row>
    <row r="67" spans="1:8" x14ac:dyDescent="0.3">
      <c r="A67" t="s">
        <v>115</v>
      </c>
      <c r="B67" s="15">
        <v>46093</v>
      </c>
      <c r="C67" t="s">
        <v>44</v>
      </c>
      <c r="D67" t="s">
        <v>45</v>
      </c>
      <c r="E67" t="s">
        <v>640</v>
      </c>
      <c r="F67">
        <v>2</v>
      </c>
      <c r="G67">
        <v>900</v>
      </c>
      <c r="H67" t="s">
        <v>34</v>
      </c>
    </row>
    <row r="68" spans="1:8" x14ac:dyDescent="0.3">
      <c r="A68" t="s">
        <v>116</v>
      </c>
      <c r="B68" s="15">
        <v>46184</v>
      </c>
      <c r="C68" t="s">
        <v>20</v>
      </c>
      <c r="D68" t="s">
        <v>21</v>
      </c>
      <c r="E68" t="s">
        <v>647</v>
      </c>
      <c r="F68">
        <v>5</v>
      </c>
      <c r="G68">
        <v>500</v>
      </c>
      <c r="H68" t="s">
        <v>34</v>
      </c>
    </row>
    <row r="69" spans="1:8" x14ac:dyDescent="0.3">
      <c r="A69" t="s">
        <v>117</v>
      </c>
      <c r="B69" s="15">
        <v>46117</v>
      </c>
      <c r="C69" t="s">
        <v>20</v>
      </c>
      <c r="D69" t="s">
        <v>21</v>
      </c>
      <c r="E69" t="s">
        <v>649</v>
      </c>
      <c r="F69">
        <v>1</v>
      </c>
      <c r="G69">
        <v>2500</v>
      </c>
      <c r="H69" t="s">
        <v>24</v>
      </c>
    </row>
    <row r="70" spans="1:8" x14ac:dyDescent="0.3">
      <c r="A70" t="s">
        <v>118</v>
      </c>
      <c r="B70" s="15">
        <v>46132</v>
      </c>
      <c r="C70" t="s">
        <v>26</v>
      </c>
      <c r="D70" t="s">
        <v>38</v>
      </c>
      <c r="E70" t="s">
        <v>646</v>
      </c>
      <c r="F70">
        <v>3</v>
      </c>
      <c r="G70">
        <v>400</v>
      </c>
      <c r="H70" t="s">
        <v>30</v>
      </c>
    </row>
    <row r="71" spans="1:8" x14ac:dyDescent="0.3">
      <c r="A71" t="s">
        <v>119</v>
      </c>
      <c r="B71" s="15">
        <v>46197</v>
      </c>
      <c r="C71" t="s">
        <v>26</v>
      </c>
      <c r="D71" t="s">
        <v>27</v>
      </c>
      <c r="E71" t="s">
        <v>639</v>
      </c>
      <c r="F71">
        <v>5</v>
      </c>
      <c r="G71">
        <v>1500</v>
      </c>
      <c r="H71" t="s">
        <v>34</v>
      </c>
    </row>
    <row r="72" spans="1:8" x14ac:dyDescent="0.3">
      <c r="A72" t="s">
        <v>120</v>
      </c>
      <c r="B72" s="15">
        <v>46132</v>
      </c>
      <c r="C72" t="s">
        <v>26</v>
      </c>
      <c r="D72" t="s">
        <v>27</v>
      </c>
      <c r="E72" t="s">
        <v>644</v>
      </c>
      <c r="F72">
        <v>3</v>
      </c>
      <c r="G72">
        <v>600</v>
      </c>
      <c r="H72" t="s">
        <v>34</v>
      </c>
    </row>
    <row r="73" spans="1:8" x14ac:dyDescent="0.3">
      <c r="A73" t="s">
        <v>121</v>
      </c>
      <c r="B73" s="15">
        <v>46189</v>
      </c>
      <c r="C73" t="s">
        <v>26</v>
      </c>
      <c r="D73" t="s">
        <v>27</v>
      </c>
      <c r="E73" t="s">
        <v>647</v>
      </c>
      <c r="G73">
        <v>500</v>
      </c>
      <c r="H73" t="s">
        <v>24</v>
      </c>
    </row>
    <row r="74" spans="1:8" x14ac:dyDescent="0.3">
      <c r="A74" t="s">
        <v>122</v>
      </c>
      <c r="B74" s="15">
        <v>46145</v>
      </c>
      <c r="C74" t="s">
        <v>26</v>
      </c>
      <c r="D74" t="s">
        <v>27</v>
      </c>
      <c r="E74" t="s">
        <v>642</v>
      </c>
      <c r="F74">
        <v>2</v>
      </c>
      <c r="G74">
        <v>300</v>
      </c>
      <c r="H74" t="s">
        <v>24</v>
      </c>
    </row>
    <row r="75" spans="1:8" x14ac:dyDescent="0.3">
      <c r="A75" t="s">
        <v>123</v>
      </c>
      <c r="B75" s="15">
        <v>46131</v>
      </c>
      <c r="C75" t="s">
        <v>44</v>
      </c>
      <c r="D75" t="s">
        <v>45</v>
      </c>
      <c r="E75" t="s">
        <v>637</v>
      </c>
      <c r="F75">
        <v>1</v>
      </c>
      <c r="G75">
        <v>1000</v>
      </c>
      <c r="H75" t="s">
        <v>34</v>
      </c>
    </row>
    <row r="76" spans="1:8" x14ac:dyDescent="0.3">
      <c r="A76" t="s">
        <v>124</v>
      </c>
      <c r="B76" s="15">
        <v>46099</v>
      </c>
      <c r="C76" t="s">
        <v>26</v>
      </c>
      <c r="D76" t="s">
        <v>38</v>
      </c>
      <c r="E76" t="s">
        <v>22</v>
      </c>
      <c r="G76">
        <v>250</v>
      </c>
      <c r="H76" t="s">
        <v>24</v>
      </c>
    </row>
    <row r="77" spans="1:8" x14ac:dyDescent="0.3">
      <c r="A77" t="s">
        <v>125</v>
      </c>
      <c r="B77" s="15">
        <v>46189</v>
      </c>
      <c r="C77" t="s">
        <v>26</v>
      </c>
      <c r="D77" t="s">
        <v>38</v>
      </c>
      <c r="E77" t="s">
        <v>649</v>
      </c>
      <c r="F77">
        <v>2</v>
      </c>
      <c r="G77">
        <v>2500</v>
      </c>
      <c r="H77" t="s">
        <v>24</v>
      </c>
    </row>
    <row r="78" spans="1:8" x14ac:dyDescent="0.3">
      <c r="A78" t="s">
        <v>126</v>
      </c>
      <c r="B78" s="15">
        <v>46045</v>
      </c>
      <c r="C78" t="s">
        <v>26</v>
      </c>
      <c r="D78" t="s">
        <v>27</v>
      </c>
      <c r="E78" t="s">
        <v>22</v>
      </c>
      <c r="F78">
        <v>1</v>
      </c>
      <c r="G78">
        <v>250</v>
      </c>
      <c r="H78" t="s">
        <v>24</v>
      </c>
    </row>
    <row r="79" spans="1:8" x14ac:dyDescent="0.3">
      <c r="A79" t="s">
        <v>127</v>
      </c>
      <c r="B79" s="15">
        <v>46086</v>
      </c>
      <c r="C79" t="s">
        <v>20</v>
      </c>
      <c r="D79" t="s">
        <v>32</v>
      </c>
      <c r="E79" t="s">
        <v>643</v>
      </c>
      <c r="F79">
        <v>3</v>
      </c>
      <c r="G79">
        <v>450</v>
      </c>
      <c r="H79" t="s">
        <v>24</v>
      </c>
    </row>
    <row r="80" spans="1:8" x14ac:dyDescent="0.3">
      <c r="A80" t="s">
        <v>128</v>
      </c>
      <c r="B80" s="15">
        <v>46123</v>
      </c>
      <c r="C80" t="s">
        <v>20</v>
      </c>
      <c r="D80" t="s">
        <v>32</v>
      </c>
      <c r="E80" t="s">
        <v>22</v>
      </c>
      <c r="F80">
        <v>2</v>
      </c>
      <c r="G80">
        <v>250</v>
      </c>
      <c r="H80" t="s">
        <v>30</v>
      </c>
    </row>
    <row r="81" spans="1:8" x14ac:dyDescent="0.3">
      <c r="A81" t="s">
        <v>129</v>
      </c>
      <c r="B81" s="15">
        <v>46026</v>
      </c>
      <c r="C81" t="s">
        <v>20</v>
      </c>
      <c r="D81" t="s">
        <v>21</v>
      </c>
      <c r="E81" t="s">
        <v>648</v>
      </c>
      <c r="G81">
        <v>800</v>
      </c>
      <c r="H81" t="s">
        <v>24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7448-2911-4699-A0A6-A9A8132DC79D}">
  <dimension ref="A1"/>
  <sheetViews>
    <sheetView showGridLines="0" topLeftCell="A2" zoomScaleNormal="100" workbookViewId="0">
      <selection activeCell="H11" sqref="H11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AA83-B67A-4196-ADDC-E643FB35063A}">
  <dimension ref="A1:A17"/>
  <sheetViews>
    <sheetView tabSelected="1" workbookViewId="0">
      <selection activeCell="A16" sqref="A16"/>
    </sheetView>
  </sheetViews>
  <sheetFormatPr baseColWidth="10" defaultRowHeight="14.4" x14ac:dyDescent="0.3"/>
  <sheetData>
    <row r="1" spans="1:1" x14ac:dyDescent="0.3">
      <c r="A1" s="18" t="s">
        <v>660</v>
      </c>
    </row>
    <row r="2" spans="1:1" x14ac:dyDescent="0.3">
      <c r="A2" s="18" t="s">
        <v>661</v>
      </c>
    </row>
    <row r="3" spans="1:1" x14ac:dyDescent="0.3">
      <c r="A3" s="19" t="s">
        <v>655</v>
      </c>
    </row>
    <row r="4" spans="1:1" x14ac:dyDescent="0.3">
      <c r="A4" t="s">
        <v>666</v>
      </c>
    </row>
    <row r="7" spans="1:1" x14ac:dyDescent="0.3">
      <c r="A7" t="s">
        <v>663</v>
      </c>
    </row>
    <row r="8" spans="1:1" x14ac:dyDescent="0.3">
      <c r="A8" t="s">
        <v>665</v>
      </c>
    </row>
    <row r="9" spans="1:1" x14ac:dyDescent="0.3">
      <c r="A9" t="s">
        <v>664</v>
      </c>
    </row>
    <row r="10" spans="1:1" x14ac:dyDescent="0.3">
      <c r="A10" t="s">
        <v>668</v>
      </c>
    </row>
    <row r="13" spans="1:1" x14ac:dyDescent="0.3">
      <c r="A13" t="s">
        <v>670</v>
      </c>
    </row>
    <row r="14" spans="1:1" x14ac:dyDescent="0.3">
      <c r="A14" t="s">
        <v>662</v>
      </c>
    </row>
    <row r="15" spans="1:1" x14ac:dyDescent="0.3">
      <c r="A15" t="s">
        <v>671</v>
      </c>
    </row>
    <row r="16" spans="1:1" x14ac:dyDescent="0.3">
      <c r="A16" t="s">
        <v>667</v>
      </c>
    </row>
    <row r="17" spans="1:1" x14ac:dyDescent="0.3">
      <c r="A17" t="s">
        <v>669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AF206-A006-4572-8E5D-F633C8E42F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Lisez-moi</vt:lpstr>
      <vt:lpstr>Ventes</vt:lpstr>
      <vt:lpstr>Dictionnaire</vt:lpstr>
      <vt:lpstr>Exercices</vt:lpstr>
      <vt:lpstr>Ventes_Brutes</vt:lpstr>
      <vt:lpstr>TCD</vt:lpstr>
      <vt:lpstr>Calculs</vt:lpstr>
      <vt:lpstr>Nettoyage </vt:lpstr>
      <vt:lpstr>Dashboard</vt:lpstr>
      <vt:lpstr>Analyse et rédaction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Caleb Paul Komlan MABOUDOU</cp:lastModifiedBy>
  <cp:revision>0</cp:revision>
  <dcterms:created xsi:type="dcterms:W3CDTF">2026-10-20T13:47:24Z</dcterms:created>
  <dcterms:modified xsi:type="dcterms:W3CDTF">2026-10-28T10:53:53Z</dcterms:modified>
  <dc:language>en-US</dc:language>
</cp:coreProperties>
</file>